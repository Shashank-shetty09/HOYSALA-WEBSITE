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TTING" sheetId="1" r:id="rId4"/>
    <sheet state="visible" name="BOWLING" sheetId="2" r:id="rId5"/>
    <sheet state="visible" name="TEAM" sheetId="3" r:id="rId6"/>
  </sheets>
  <definedNames/>
  <calcPr/>
</workbook>
</file>

<file path=xl/sharedStrings.xml><?xml version="1.0" encoding="utf-8"?>
<sst xmlns="http://schemas.openxmlformats.org/spreadsheetml/2006/main" count="160" uniqueCount="117">
  <si>
    <t>S.NO</t>
  </si>
  <si>
    <t>BATSMAN</t>
  </si>
  <si>
    <t>MATCHES</t>
  </si>
  <si>
    <t>INNINGS</t>
  </si>
  <si>
    <t>RUNS</t>
  </si>
  <si>
    <t>BALLS</t>
  </si>
  <si>
    <t>NOT OUTS</t>
  </si>
  <si>
    <t>STRIKERATE</t>
  </si>
  <si>
    <t>AVERAGE</t>
  </si>
  <si>
    <t>Balls/bdry</t>
  </si>
  <si>
    <t>SIXES</t>
  </si>
  <si>
    <t>FOURS</t>
  </si>
  <si>
    <t>50</t>
  </si>
  <si>
    <t>BEST</t>
  </si>
  <si>
    <t>RECENT</t>
  </si>
  <si>
    <t>HONNUR SWAMY</t>
  </si>
  <si>
    <t>107*(33)</t>
  </si>
  <si>
    <t>UJWAL</t>
  </si>
  <si>
    <t>76(23)</t>
  </si>
  <si>
    <t>4(3)</t>
  </si>
  <si>
    <t>AKASH</t>
  </si>
  <si>
    <t>56(16)*</t>
  </si>
  <si>
    <t>14(5)</t>
  </si>
  <si>
    <t>VISHNU VY</t>
  </si>
  <si>
    <t>61(30)</t>
  </si>
  <si>
    <t>0(2)</t>
  </si>
  <si>
    <t>PRASHANTH</t>
  </si>
  <si>
    <t>37(19)</t>
  </si>
  <si>
    <t>0(1)</t>
  </si>
  <si>
    <t>NIKHIL</t>
  </si>
  <si>
    <t>47(23)</t>
  </si>
  <si>
    <t>NIHAAL</t>
  </si>
  <si>
    <t>41(22)*</t>
  </si>
  <si>
    <t>2(7)</t>
  </si>
  <si>
    <t>SHASHANK SHETTY</t>
  </si>
  <si>
    <t>25(20)*</t>
  </si>
  <si>
    <t>6(1)</t>
  </si>
  <si>
    <t>BHARGAV</t>
  </si>
  <si>
    <t>34(15)</t>
  </si>
  <si>
    <t>12(7)</t>
  </si>
  <si>
    <t>AKSHAY</t>
  </si>
  <si>
    <t>41(28)*</t>
  </si>
  <si>
    <t>5*(2)</t>
  </si>
  <si>
    <t>SHIVRAJ</t>
  </si>
  <si>
    <t>27(13)</t>
  </si>
  <si>
    <t>4(7)</t>
  </si>
  <si>
    <t>NITIN</t>
  </si>
  <si>
    <t>25(10)</t>
  </si>
  <si>
    <t>1*(1)</t>
  </si>
  <si>
    <t>JEEVAN</t>
  </si>
  <si>
    <t>18(13)</t>
  </si>
  <si>
    <t>7*(3)</t>
  </si>
  <si>
    <t>MANOJ</t>
  </si>
  <si>
    <t>17(9)</t>
  </si>
  <si>
    <t>0(5)</t>
  </si>
  <si>
    <t>TUSHAR</t>
  </si>
  <si>
    <t>15(15)</t>
  </si>
  <si>
    <t>11(10)</t>
  </si>
  <si>
    <t>ADNAN</t>
  </si>
  <si>
    <t>37(12)</t>
  </si>
  <si>
    <t>VIVEK</t>
  </si>
  <si>
    <t>7(6)*</t>
  </si>
  <si>
    <t>SUPREETH</t>
  </si>
  <si>
    <t>10(15)</t>
  </si>
  <si>
    <t>CHETHAN</t>
  </si>
  <si>
    <t>21(28)*</t>
  </si>
  <si>
    <t>SAGAR</t>
  </si>
  <si>
    <t>8(4)</t>
  </si>
  <si>
    <t>BOWLER</t>
  </si>
  <si>
    <t>OVERS</t>
  </si>
  <si>
    <t>WICKETS</t>
  </si>
  <si>
    <t>ECONOMY</t>
  </si>
  <si>
    <t>STRIKE RATE</t>
  </si>
  <si>
    <t>3-W</t>
  </si>
  <si>
    <t>5-W</t>
  </si>
  <si>
    <t>3-0-11-5</t>
  </si>
  <si>
    <t>1-0-17-0</t>
  </si>
  <si>
    <t>3-0-21-5</t>
  </si>
  <si>
    <t>2-0-13-1</t>
  </si>
  <si>
    <t>2-0-28-4</t>
  </si>
  <si>
    <t>1-0-1-0</t>
  </si>
  <si>
    <t>2-0-23-4</t>
  </si>
  <si>
    <t>2-0-18-1</t>
  </si>
  <si>
    <t>1-0-6-3</t>
  </si>
  <si>
    <t>3-0-30-3</t>
  </si>
  <si>
    <t>1-0-1-3</t>
  </si>
  <si>
    <t>1-0-18-1</t>
  </si>
  <si>
    <t>1.1-0-8-3</t>
  </si>
  <si>
    <t>1-0-13-2</t>
  </si>
  <si>
    <t>2-0-14-4</t>
  </si>
  <si>
    <t>3-0-19-4</t>
  </si>
  <si>
    <t>0.1-0-6-0</t>
  </si>
  <si>
    <t>2-0-14-2</t>
  </si>
  <si>
    <t>1-0-10-1</t>
  </si>
  <si>
    <t>2-0-13-2</t>
  </si>
  <si>
    <t>0.3-0-0-1</t>
  </si>
  <si>
    <t>1-0-7-0</t>
  </si>
  <si>
    <t>-</t>
  </si>
  <si>
    <t>1-0-11-0</t>
  </si>
  <si>
    <t>0.4-0-14-0</t>
  </si>
  <si>
    <t>SERIES VS</t>
  </si>
  <si>
    <t>ELITE</t>
  </si>
  <si>
    <t>ZERO11</t>
  </si>
  <si>
    <t>DOMINATORS</t>
  </si>
  <si>
    <t>TOTAL</t>
  </si>
  <si>
    <t>0-3</t>
  </si>
  <si>
    <t>2--1</t>
  </si>
  <si>
    <t>0--2</t>
  </si>
  <si>
    <t>WON</t>
  </si>
  <si>
    <t>3-0</t>
  </si>
  <si>
    <t>1--2</t>
  </si>
  <si>
    <t>LOST</t>
  </si>
  <si>
    <t>TIE</t>
  </si>
  <si>
    <t>1--1</t>
  </si>
  <si>
    <t>MATCHES VS</t>
  </si>
  <si>
    <t>2-0</t>
  </si>
  <si>
    <t>HPL-UPL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</si>
</sst>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/>
      <name val="Arial"/>
      <scheme val="minor"/>
    </font>
    <font>
      <sz val="11.0"/>
      <color/>
      <name val="Aptos Narrow"/>
    </font>
    <font>
      <sz val="13.0"/>
      <color rgb="FFFFFFFF"/>
      <name val="Aptos Narrow"/>
    </font>
    <font>
      <sz val="13.0"/>
      <color rgb="FFFF0000"/>
      <name val="Aptos Narrow"/>
    </font>
    <font>
      <b/>
      <sz val="11.0"/>
      <color/>
      <name val="Aptos Narrow"/>
    </font>
    <font/>
    <font>
      <b/>
      <sz val="12.0"/>
      <color rgb="FFFF0000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215E99"/>
        <bgColor rgb="FF215E99"/>
      </patternFill>
    </fill>
    <fill>
      <patternFill patternType="solid">
        <fgColor rgb="FFDBE9F7"/>
        <bgColor rgb="FFDBE9F7"/>
      </patternFill>
    </fill>
    <fill>
      <patternFill patternType="solid">
        <fgColor rgb="FFC1E4F5"/>
        <bgColor rgb="FFC1E4F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1" fillId="3" fontId="3" numFmtId="0" xfId="0" applyBorder="1" applyFill="1" applyFont="1"/>
    <xf borderId="0" fillId="0" fontId="2" numFmtId="0" xfId="0" applyAlignment="1" applyFont="1">
      <alignment readingOrder="0"/>
    </xf>
    <xf borderId="1" fillId="4" fontId="1" numFmtId="0" xfId="0" applyBorder="1" applyFill="1" applyFont="1"/>
    <xf borderId="0" fillId="0" fontId="4" numFmtId="0" xfId="0" applyFont="1"/>
    <xf borderId="0" fillId="0" fontId="5" numFmtId="0" xfId="0" applyAlignment="1" applyFont="1">
      <alignment readingOrder="0"/>
    </xf>
    <xf borderId="1" fillId="3" fontId="6" numFmtId="0" xfId="0" applyAlignment="1" applyBorder="1" applyFill="1" applyFont="1">
      <alignment readingOrder="0"/>
    </xf>
    <xf borderId="0" fillId="0" fontId="5" numFmtId="0" xfId="0" applyFont="1"/>
    <xf borderId="0" fillId="0" fontId="1" numFmtId="0" xfId="0" applyAlignment="1" applyFont="1">
      <alignment horizontal="right" readingOrder="0"/>
    </xf>
    <xf borderId="1" fillId="0" fontId="1" numFmtId="0" xfId="0" applyBorder="1" applyFont="1"/>
    <xf borderId="0" fillId="0" fontId="1" numFmtId="0" xfId="0" applyAlignment="1" applyFont="1">
      <alignment horizontal="right"/>
    </xf>
    <xf borderId="1" fillId="3" fontId="6" numFmtId="0" xfId="0" applyBorder="1" applyFill="1" applyFont="1"/>
    <xf borderId="1" fillId="4" fontId="6" numFmtId="0" xfId="0" applyBorder="1" applyFill="1" applyFont="1"/>
    <xf borderId="0" fillId="0" fontId="1" numFmtId="14" xfId="0" applyFont="1" applyNumberFormat="1"/>
    <xf borderId="0" fillId="0" fontId="1" numFmtId="16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none"/>
      </fill>
      <border/>
    </dxf>
  </dxfs>
  <tableStyles count="2">
    <tableStyle count="3" pivot="0" name="BATTING-style">
      <tableStyleElement dxfId="1" type="headerRow"/>
      <tableStyleElement dxfId="2" type="firstRowStripe"/>
      <tableStyleElement dxfId="3" type="secondRowStripe"/>
    </tableStyle>
    <tableStyle count="3" pivot="0" name="BOWLING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1:P21" displayName="Table_1" name="Table_1" id="1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BATTING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B1:M16" displayName="Table_2" name="Table_2" id="2">
  <tableColumns count="12">
    <tableColumn name="BOWLER" id="1"/>
    <tableColumn name="MATCHES" id="2"/>
    <tableColumn name="OVERS" id="3"/>
    <tableColumn name="WICKETS" id="4"/>
    <tableColumn name="RUNS" id="5"/>
    <tableColumn name="ECONOMY" id="6"/>
    <tableColumn name="AVERAGE" id="7"/>
    <tableColumn name="STRIKE RATE" id="8"/>
    <tableColumn name="3-W" id="9"/>
    <tableColumn name="5-W" id="10"/>
    <tableColumn name="BEST" id="11"/>
    <tableColumn name="RECENT" id="12"/>
  </tableColumns>
  <tableStyleInfo name="BOWL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5"/>
    <col customWidth="1" min="2" max="2" width="18.0"/>
    <col customWidth="1" min="3" max="3" width="13.63"/>
    <col customWidth="1" min="4" max="4" width="12.5"/>
    <col customWidth="1" min="5" max="5" width="9.38"/>
    <col customWidth="1" min="6" max="6" width="9.88"/>
    <col customWidth="1" min="7" max="7" width="13.88"/>
    <col customWidth="1" min="8" max="8" width="15.63"/>
    <col customWidth="1" min="9" max="9" width="13.38"/>
    <col customWidth="1" min="10" max="10" width="14.13"/>
    <col customWidth="1" min="11" max="11" width="9.5"/>
    <col customWidth="1" min="12" max="12" width="10.5"/>
    <col customWidth="1" min="13" max="14" width="6.0"/>
    <col customWidth="1" min="15" max="16" width="8.63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>
        <v>100.0</v>
      </c>
      <c r="O1" s="2" t="s">
        <v>13</v>
      </c>
      <c r="P1" s="2" t="s">
        <v>14</v>
      </c>
    </row>
    <row r="2" ht="14.25" customHeight="1">
      <c r="A2" s="5">
        <v>1.0</v>
      </c>
      <c r="B2" s="6" t="s">
        <v>15</v>
      </c>
      <c r="C2" s="7">
        <v>84.0</v>
      </c>
      <c r="D2" s="7">
        <v>76.0</v>
      </c>
      <c r="E2" s="8">
        <v>1609.0</v>
      </c>
      <c r="F2" s="7">
        <v>713.0</v>
      </c>
      <c r="G2" s="7">
        <v>8.0</v>
      </c>
      <c r="H2" s="9" t="str">
        <f t="shared" ref="H2:H21" si="1">ROUND((E2*100)/F2,4)</f>
        <v>225.6662</v>
      </c>
      <c r="I2" s="9" t="str">
        <f t="shared" ref="I2:I21" si="2">ROUND(E2/(D2-G2),4)</f>
        <v>23.6618</v>
      </c>
      <c r="J2" s="9" t="str">
        <f>ROUND(BATTING!$F2/(BATTING!$K2+BATTING!$L2),4)</f>
        <v>2.6213</v>
      </c>
      <c r="K2" s="7">
        <v>165.0</v>
      </c>
      <c r="L2" s="7">
        <v>107.0</v>
      </c>
      <c r="M2" s="7">
        <v>7.0</v>
      </c>
      <c r="N2" s="7">
        <v>1.0</v>
      </c>
      <c r="O2" s="10" t="s">
        <v>16</v>
      </c>
      <c r="P2" s="7" t="s">
        <v>16</v>
      </c>
    </row>
    <row r="3" ht="14.25" customHeight="1">
      <c r="A3" s="11">
        <v>2.0</v>
      </c>
      <c r="B3" s="6" t="s">
        <v>17</v>
      </c>
      <c r="C3" s="7">
        <v>72.0</v>
      </c>
      <c r="D3" s="7">
        <v>62.0</v>
      </c>
      <c r="E3" s="8">
        <v>995.0</v>
      </c>
      <c r="F3" s="7">
        <v>598.0</v>
      </c>
      <c r="G3" s="9">
        <v>10.0</v>
      </c>
      <c r="H3" s="9" t="str">
        <f t="shared" si="1"/>
        <v>166.388</v>
      </c>
      <c r="I3" s="9" t="str">
        <f t="shared" si="2"/>
        <v>19.1346</v>
      </c>
      <c r="J3" s="9" t="str">
        <f>ROUND(BATTING!$F3/(BATTING!$K3+BATTING!$L3),4)</f>
        <v>3.6914</v>
      </c>
      <c r="K3" s="7">
        <v>61.0</v>
      </c>
      <c r="L3" s="7">
        <v>101.0</v>
      </c>
      <c r="M3" s="9">
        <v>1.0</v>
      </c>
      <c r="N3" s="7">
        <v>0.0</v>
      </c>
      <c r="O3" s="12" t="s">
        <v>18</v>
      </c>
      <c r="P3" s="7" t="s">
        <v>19</v>
      </c>
    </row>
    <row r="4" ht="14.25" customHeight="1">
      <c r="A4" s="5">
        <v>3.0</v>
      </c>
      <c r="B4" s="6" t="s">
        <v>20</v>
      </c>
      <c r="C4" s="7">
        <v>78.0</v>
      </c>
      <c r="D4" s="7">
        <v>66.0</v>
      </c>
      <c r="E4" s="8">
        <v>745.0</v>
      </c>
      <c r="F4" s="7">
        <v>479.0</v>
      </c>
      <c r="G4" s="9">
        <v>9.0</v>
      </c>
      <c r="H4" s="9" t="str">
        <f t="shared" si="1"/>
        <v>155.5324</v>
      </c>
      <c r="I4" s="9" t="str">
        <f t="shared" si="2"/>
        <v>13.0702</v>
      </c>
      <c r="J4" s="9" t="str">
        <f>ROUND(BATTING!$F4/(BATTING!$K4+BATTING!$L4),4)</f>
        <v>4.3153</v>
      </c>
      <c r="K4" s="7">
        <v>46.0</v>
      </c>
      <c r="L4" s="7">
        <v>65.0</v>
      </c>
      <c r="M4" s="9">
        <v>2.0</v>
      </c>
      <c r="N4" s="7">
        <v>0.0</v>
      </c>
      <c r="O4" s="12" t="s">
        <v>21</v>
      </c>
      <c r="P4" s="7" t="s">
        <v>22</v>
      </c>
    </row>
    <row r="5" ht="14.25" customHeight="1">
      <c r="A5" s="11">
        <v>4.0</v>
      </c>
      <c r="B5" s="6" t="s">
        <v>23</v>
      </c>
      <c r="C5" s="7">
        <v>87.0</v>
      </c>
      <c r="D5" s="7">
        <v>70.0</v>
      </c>
      <c r="E5" s="13">
        <v>558.0</v>
      </c>
      <c r="F5" s="7">
        <v>434.0</v>
      </c>
      <c r="G5" s="9">
        <v>16.0</v>
      </c>
      <c r="H5" s="9" t="str">
        <f t="shared" si="1"/>
        <v>128.5714</v>
      </c>
      <c r="I5" s="9" t="str">
        <f t="shared" si="2"/>
        <v>10.3333</v>
      </c>
      <c r="J5" s="9" t="str">
        <f>ROUND(BATTING!$F5/(BATTING!$K5+BATTING!$L5),4)</f>
        <v>4.9885</v>
      </c>
      <c r="K5" s="9">
        <v>36.0</v>
      </c>
      <c r="L5" s="9">
        <v>51.0</v>
      </c>
      <c r="M5" s="9">
        <v>1.0</v>
      </c>
      <c r="N5" s="7">
        <v>0.0</v>
      </c>
      <c r="O5" s="12" t="s">
        <v>24</v>
      </c>
      <c r="P5" s="7" t="s">
        <v>25</v>
      </c>
    </row>
    <row r="6" ht="14.25" customHeight="1">
      <c r="A6" s="5">
        <v>5.0</v>
      </c>
      <c r="B6" s="6" t="s">
        <v>26</v>
      </c>
      <c r="C6" s="7">
        <v>59.0</v>
      </c>
      <c r="D6" s="7">
        <v>48.0</v>
      </c>
      <c r="E6" s="8">
        <v>473.0</v>
      </c>
      <c r="F6" s="7">
        <v>340.0</v>
      </c>
      <c r="G6" s="7">
        <v>10.0</v>
      </c>
      <c r="H6" s="9" t="str">
        <f t="shared" si="1"/>
        <v>139.1176</v>
      </c>
      <c r="I6" s="9" t="str">
        <f t="shared" si="2"/>
        <v>12.4474</v>
      </c>
      <c r="J6" s="9" t="str">
        <f>ROUND(BATTING!$F6/(BATTING!$K6+BATTING!$L6),4)</f>
        <v>4.8571</v>
      </c>
      <c r="K6" s="9">
        <v>22.0</v>
      </c>
      <c r="L6" s="9">
        <v>48.0</v>
      </c>
      <c r="M6" s="9">
        <v>0.0</v>
      </c>
      <c r="N6" s="7">
        <v>0.0</v>
      </c>
      <c r="O6" s="12" t="s">
        <v>27</v>
      </c>
      <c r="P6" s="7" t="s">
        <v>28</v>
      </c>
    </row>
    <row r="7" ht="14.25" customHeight="1">
      <c r="A7" s="11">
        <v>6.0</v>
      </c>
      <c r="B7" s="6" t="s">
        <v>29</v>
      </c>
      <c r="C7" s="9">
        <v>46.0</v>
      </c>
      <c r="D7" s="9">
        <v>33.0</v>
      </c>
      <c r="E7" s="13">
        <v>318.0</v>
      </c>
      <c r="F7" s="9">
        <v>203.0</v>
      </c>
      <c r="G7" s="9">
        <v>7.0</v>
      </c>
      <c r="H7" s="9" t="str">
        <f t="shared" si="1"/>
        <v>156.6502</v>
      </c>
      <c r="I7" s="9" t="str">
        <f t="shared" si="2"/>
        <v>12.2308</v>
      </c>
      <c r="J7" s="9" t="str">
        <f>ROUND(BATTING!$F7/(BATTING!$K7+BATTING!$L7),4)</f>
        <v>3.9804</v>
      </c>
      <c r="K7" s="9">
        <v>23.0</v>
      </c>
      <c r="L7" s="9">
        <v>28.0</v>
      </c>
      <c r="M7" s="9">
        <v>0.0</v>
      </c>
      <c r="N7" s="7">
        <v>0.0</v>
      </c>
      <c r="O7" s="12" t="s">
        <v>30</v>
      </c>
      <c r="P7" s="9" t="s">
        <v>28</v>
      </c>
    </row>
    <row r="8" ht="14.25" customHeight="1">
      <c r="A8" s="5">
        <v>7.0</v>
      </c>
      <c r="B8" s="6" t="s">
        <v>31</v>
      </c>
      <c r="C8" s="9">
        <v>55.0</v>
      </c>
      <c r="D8" s="9">
        <v>41.0</v>
      </c>
      <c r="E8" s="13">
        <v>311.0</v>
      </c>
      <c r="F8" s="9">
        <v>213.0</v>
      </c>
      <c r="G8" s="9">
        <v>7.0</v>
      </c>
      <c r="H8" s="9" t="str">
        <f t="shared" si="1"/>
        <v>146.0094</v>
      </c>
      <c r="I8" s="9" t="str">
        <f t="shared" si="2"/>
        <v>9.1471</v>
      </c>
      <c r="J8" s="9" t="str">
        <f>ROUND(BATTING!$F8/(BATTING!$K8+BATTING!$L8),4)</f>
        <v>4.6304</v>
      </c>
      <c r="K8" s="9">
        <v>29.0</v>
      </c>
      <c r="L8" s="9">
        <v>17.0</v>
      </c>
      <c r="M8" s="9">
        <v>0.0</v>
      </c>
      <c r="N8" s="7">
        <v>0.0</v>
      </c>
      <c r="O8" s="12" t="s">
        <v>32</v>
      </c>
      <c r="P8" s="9" t="s">
        <v>33</v>
      </c>
    </row>
    <row r="9" ht="14.25" customHeight="1">
      <c r="A9" s="11">
        <v>8.0</v>
      </c>
      <c r="B9" s="6" t="s">
        <v>34</v>
      </c>
      <c r="C9" s="9">
        <v>103.0</v>
      </c>
      <c r="D9" s="9">
        <v>51.0</v>
      </c>
      <c r="E9" s="13">
        <v>307.0</v>
      </c>
      <c r="F9" s="9">
        <v>280.0</v>
      </c>
      <c r="G9" s="9">
        <v>17.0</v>
      </c>
      <c r="H9" s="9" t="str">
        <f t="shared" si="1"/>
        <v>109.6429</v>
      </c>
      <c r="I9" s="9" t="str">
        <f t="shared" si="2"/>
        <v>9.0294</v>
      </c>
      <c r="J9" s="9" t="str">
        <f>ROUND(BATTING!$F9/(BATTING!$K9+BATTING!$L9),4)</f>
        <v>6.6667</v>
      </c>
      <c r="K9" s="9">
        <v>13.0</v>
      </c>
      <c r="L9" s="9">
        <v>29.0</v>
      </c>
      <c r="M9" s="9">
        <v>0.0</v>
      </c>
      <c r="N9" s="7">
        <v>0.0</v>
      </c>
      <c r="O9" s="12" t="s">
        <v>35</v>
      </c>
      <c r="P9" s="9" t="s">
        <v>36</v>
      </c>
    </row>
    <row r="10" ht="14.25" customHeight="1">
      <c r="A10" s="5">
        <v>9.0</v>
      </c>
      <c r="B10" s="6" t="s">
        <v>37</v>
      </c>
      <c r="C10" s="7">
        <v>56.0</v>
      </c>
      <c r="D10" s="9">
        <v>44.0</v>
      </c>
      <c r="E10" s="13">
        <v>301.0</v>
      </c>
      <c r="F10" s="9">
        <v>207.0</v>
      </c>
      <c r="G10" s="9">
        <v>5.0</v>
      </c>
      <c r="H10" s="9" t="str">
        <f t="shared" si="1"/>
        <v>145.4106</v>
      </c>
      <c r="I10" s="9" t="str">
        <f t="shared" si="2"/>
        <v>7.7179</v>
      </c>
      <c r="J10" s="9" t="str">
        <f>ROUND(BATTING!$F10/(BATTING!$K10+BATTING!$L10),4)</f>
        <v>4.7045</v>
      </c>
      <c r="K10" s="9">
        <v>26.0</v>
      </c>
      <c r="L10" s="9">
        <v>18.0</v>
      </c>
      <c r="M10" s="9">
        <v>0.0</v>
      </c>
      <c r="N10" s="7">
        <v>0.0</v>
      </c>
      <c r="O10" s="12" t="s">
        <v>38</v>
      </c>
      <c r="P10" s="9" t="s">
        <v>39</v>
      </c>
    </row>
    <row r="11" ht="14.25" customHeight="1">
      <c r="A11" s="11">
        <v>10.0</v>
      </c>
      <c r="B11" s="6" t="s">
        <v>40</v>
      </c>
      <c r="C11" s="9">
        <v>46.0</v>
      </c>
      <c r="D11" s="9">
        <v>32.0</v>
      </c>
      <c r="E11" s="13">
        <v>227.0</v>
      </c>
      <c r="F11" s="9">
        <v>206.0</v>
      </c>
      <c r="G11" s="9">
        <v>15.0</v>
      </c>
      <c r="H11" s="9" t="str">
        <f t="shared" si="1"/>
        <v>110.1942</v>
      </c>
      <c r="I11" s="9" t="str">
        <f t="shared" si="2"/>
        <v>13.3529</v>
      </c>
      <c r="J11" s="9" t="str">
        <f>ROUND(BATTING!$F11/(BATTING!$K11+BATTING!$L11),4)</f>
        <v>6.8667</v>
      </c>
      <c r="K11" s="9">
        <v>6.0</v>
      </c>
      <c r="L11" s="9">
        <v>24.0</v>
      </c>
      <c r="M11" s="9">
        <v>0.0</v>
      </c>
      <c r="N11" s="7">
        <v>0.0</v>
      </c>
      <c r="O11" s="12" t="s">
        <v>41</v>
      </c>
      <c r="P11" s="9" t="s">
        <v>42</v>
      </c>
    </row>
    <row r="12" ht="14.25" customHeight="1">
      <c r="A12" s="5">
        <v>11.0</v>
      </c>
      <c r="B12" s="6" t="s">
        <v>43</v>
      </c>
      <c r="C12" s="7">
        <v>35.0</v>
      </c>
      <c r="D12" s="7">
        <v>24.0</v>
      </c>
      <c r="E12" s="8">
        <v>222.0</v>
      </c>
      <c r="F12" s="7">
        <v>180.0</v>
      </c>
      <c r="G12" s="7">
        <v>5.0</v>
      </c>
      <c r="H12" s="9" t="str">
        <f t="shared" si="1"/>
        <v>123.3333</v>
      </c>
      <c r="I12" s="9" t="str">
        <f t="shared" si="2"/>
        <v>11.6842</v>
      </c>
      <c r="J12" s="9" t="str">
        <f>ROUND(BATTING!$F12/(BATTING!$K12+BATTING!$L12),4)</f>
        <v>6</v>
      </c>
      <c r="K12" s="9">
        <v>12.0</v>
      </c>
      <c r="L12" s="9">
        <v>18.0</v>
      </c>
      <c r="M12" s="9">
        <v>0.0</v>
      </c>
      <c r="N12" s="7">
        <v>0.0</v>
      </c>
      <c r="O12" s="12" t="s">
        <v>44</v>
      </c>
      <c r="P12" s="7" t="s">
        <v>45</v>
      </c>
    </row>
    <row r="13" ht="14.25" customHeight="1">
      <c r="A13" s="11">
        <v>12.0</v>
      </c>
      <c r="B13" s="6" t="s">
        <v>46</v>
      </c>
      <c r="C13" s="9">
        <v>33.0</v>
      </c>
      <c r="D13" s="9">
        <v>22.0</v>
      </c>
      <c r="E13" s="13">
        <v>146.0</v>
      </c>
      <c r="F13" s="9">
        <v>104.0</v>
      </c>
      <c r="G13" s="9">
        <v>6.0</v>
      </c>
      <c r="H13" s="9" t="str">
        <f t="shared" si="1"/>
        <v>140.3846</v>
      </c>
      <c r="I13" s="9" t="str">
        <f t="shared" si="2"/>
        <v>9.125</v>
      </c>
      <c r="J13" s="9" t="str">
        <f>ROUND(BATTING!$F13/(BATTING!$K13+BATTING!$L13),4)</f>
        <v>5.7778</v>
      </c>
      <c r="K13" s="9">
        <v>8.0</v>
      </c>
      <c r="L13" s="9">
        <v>10.0</v>
      </c>
      <c r="M13" s="9">
        <v>0.0</v>
      </c>
      <c r="N13" s="7">
        <v>0.0</v>
      </c>
      <c r="O13" s="12" t="s">
        <v>47</v>
      </c>
      <c r="P13" s="9" t="s">
        <v>48</v>
      </c>
    </row>
    <row r="14" ht="14.25" customHeight="1">
      <c r="A14" s="5">
        <v>13.0</v>
      </c>
      <c r="B14" s="6" t="s">
        <v>49</v>
      </c>
      <c r="C14" s="9">
        <v>64.0</v>
      </c>
      <c r="D14" s="9">
        <v>24.0</v>
      </c>
      <c r="E14" s="13">
        <v>113.0</v>
      </c>
      <c r="F14" s="9">
        <v>107.0</v>
      </c>
      <c r="G14" s="9">
        <v>10.0</v>
      </c>
      <c r="H14" s="9" t="str">
        <f t="shared" si="1"/>
        <v>105.6075</v>
      </c>
      <c r="I14" s="9" t="str">
        <f t="shared" si="2"/>
        <v>8.0714</v>
      </c>
      <c r="J14" s="9" t="str">
        <f>ROUND(BATTING!$F14/(BATTING!$K14+BATTING!$L14),4)</f>
        <v>9.7273</v>
      </c>
      <c r="K14" s="9">
        <v>0.0</v>
      </c>
      <c r="L14" s="9">
        <v>11.0</v>
      </c>
      <c r="M14" s="9">
        <v>0.0</v>
      </c>
      <c r="N14" s="7">
        <v>0.0</v>
      </c>
      <c r="O14" s="12" t="s">
        <v>50</v>
      </c>
      <c r="P14" s="9" t="s">
        <v>51</v>
      </c>
    </row>
    <row r="15" ht="14.25" customHeight="1">
      <c r="A15" s="11">
        <v>14.0</v>
      </c>
      <c r="B15" s="6" t="s">
        <v>52</v>
      </c>
      <c r="C15" s="9">
        <v>46.0</v>
      </c>
      <c r="D15" s="9">
        <v>19.0</v>
      </c>
      <c r="E15" s="13">
        <v>90.0</v>
      </c>
      <c r="F15" s="9">
        <v>92.0</v>
      </c>
      <c r="G15" s="9">
        <v>8.0</v>
      </c>
      <c r="H15" s="9" t="str">
        <f t="shared" si="1"/>
        <v>97.8261</v>
      </c>
      <c r="I15" s="9" t="str">
        <f t="shared" si="2"/>
        <v>8.1818</v>
      </c>
      <c r="J15" s="9" t="str">
        <f>ROUND(BATTING!$F15/(BATTING!$K15+BATTING!$L15),4)</f>
        <v>9.2</v>
      </c>
      <c r="K15" s="9">
        <v>1.0</v>
      </c>
      <c r="L15" s="9">
        <v>9.0</v>
      </c>
      <c r="M15" s="9">
        <v>0.0</v>
      </c>
      <c r="N15" s="7">
        <v>0.0</v>
      </c>
      <c r="O15" s="12" t="s">
        <v>53</v>
      </c>
      <c r="P15" s="9" t="s">
        <v>54</v>
      </c>
    </row>
    <row r="16" ht="14.25" customHeight="1">
      <c r="A16" s="5">
        <v>15.0</v>
      </c>
      <c r="B16" s="6" t="s">
        <v>55</v>
      </c>
      <c r="C16" s="9">
        <v>31.0</v>
      </c>
      <c r="D16" s="9">
        <v>20.0</v>
      </c>
      <c r="E16" s="13">
        <v>66.0</v>
      </c>
      <c r="F16" s="9">
        <v>79.0</v>
      </c>
      <c r="G16" s="9">
        <v>1.0</v>
      </c>
      <c r="H16" s="9" t="str">
        <f t="shared" si="1"/>
        <v>83.5443</v>
      </c>
      <c r="I16" s="9" t="str">
        <f t="shared" si="2"/>
        <v>3.4737</v>
      </c>
      <c r="J16" s="9" t="str">
        <f>ROUND(BATTING!$F16/(BATTING!$K16+BATTING!$L16),4)</f>
        <v>13.1667</v>
      </c>
      <c r="K16" s="9">
        <v>0.0</v>
      </c>
      <c r="L16" s="9">
        <v>6.0</v>
      </c>
      <c r="M16" s="9">
        <v>0.0</v>
      </c>
      <c r="N16" s="7">
        <v>0.0</v>
      </c>
      <c r="O16" s="12" t="s">
        <v>56</v>
      </c>
      <c r="P16" s="9" t="s">
        <v>57</v>
      </c>
    </row>
    <row r="17" ht="14.25" customHeight="1">
      <c r="A17" s="11">
        <v>16.0</v>
      </c>
      <c r="B17" s="6" t="s">
        <v>58</v>
      </c>
      <c r="C17" s="9">
        <v>12.0</v>
      </c>
      <c r="D17" s="9">
        <v>9.0</v>
      </c>
      <c r="E17" s="13">
        <v>50.0</v>
      </c>
      <c r="F17" s="9">
        <v>57.0</v>
      </c>
      <c r="G17" s="9">
        <v>2.0</v>
      </c>
      <c r="H17" s="9" t="str">
        <f t="shared" si="1"/>
        <v>87.7193</v>
      </c>
      <c r="I17" s="9" t="str">
        <f t="shared" si="2"/>
        <v>7.1429</v>
      </c>
      <c r="J17" s="9" t="str">
        <f>ROUND(BATTING!$F17/(BATTING!$K17+BATTING!$L17),4)</f>
        <v>5.7</v>
      </c>
      <c r="K17" s="9">
        <v>2.0</v>
      </c>
      <c r="L17" s="9">
        <v>8.0</v>
      </c>
      <c r="M17" s="9">
        <v>0.0</v>
      </c>
      <c r="N17" s="7">
        <v>0.0</v>
      </c>
      <c r="O17" s="12" t="s">
        <v>59</v>
      </c>
      <c r="P17" s="9"/>
    </row>
    <row r="18" ht="14.25" customHeight="1">
      <c r="A18" s="5">
        <v>17.0</v>
      </c>
      <c r="B18" s="6" t="s">
        <v>60</v>
      </c>
      <c r="C18" s="9">
        <v>33.0</v>
      </c>
      <c r="D18" s="9">
        <v>14.0</v>
      </c>
      <c r="E18" s="13">
        <v>45.0</v>
      </c>
      <c r="F18" s="9">
        <v>51.0</v>
      </c>
      <c r="G18" s="9">
        <v>4.0</v>
      </c>
      <c r="H18" s="9" t="str">
        <f t="shared" si="1"/>
        <v>88.2353</v>
      </c>
      <c r="I18" s="9" t="str">
        <f t="shared" si="2"/>
        <v>4.5</v>
      </c>
      <c r="J18" s="9" t="str">
        <f>ROUND(BATTING!$F18/(BATTING!$K18+BATTING!$L18),4)</f>
        <v>8.5</v>
      </c>
      <c r="K18" s="9">
        <v>1.0</v>
      </c>
      <c r="L18" s="9">
        <v>5.0</v>
      </c>
      <c r="M18" s="9">
        <v>0.0</v>
      </c>
      <c r="N18" s="7">
        <v>0.0</v>
      </c>
      <c r="O18" s="12" t="s">
        <v>61</v>
      </c>
      <c r="P18" s="9"/>
    </row>
    <row r="19" ht="14.25" customHeight="1">
      <c r="A19" s="11">
        <v>19.0</v>
      </c>
      <c r="B19" s="6" t="s">
        <v>62</v>
      </c>
      <c r="C19" s="9">
        <v>18.0</v>
      </c>
      <c r="D19" s="9">
        <v>9.0</v>
      </c>
      <c r="E19" s="13">
        <v>36.0</v>
      </c>
      <c r="F19" s="9">
        <v>44.0</v>
      </c>
      <c r="G19" s="9">
        <v>2.0</v>
      </c>
      <c r="H19" s="9" t="str">
        <f t="shared" si="1"/>
        <v>81.8182</v>
      </c>
      <c r="I19" s="9" t="str">
        <f t="shared" si="2"/>
        <v>5.1429</v>
      </c>
      <c r="J19" s="9" t="str">
        <f>ROUND(BATTING!$F19/(BATTING!$K19+BATTING!$L19),4)</f>
        <v>22</v>
      </c>
      <c r="K19" s="9">
        <v>0.0</v>
      </c>
      <c r="L19" s="9">
        <v>2.0</v>
      </c>
      <c r="M19" s="9">
        <v>0.0</v>
      </c>
      <c r="N19" s="7">
        <v>0.0</v>
      </c>
      <c r="O19" s="12" t="s">
        <v>63</v>
      </c>
      <c r="P19" s="9"/>
    </row>
    <row r="20" ht="14.25" customHeight="1">
      <c r="A20" s="5">
        <v>20.0</v>
      </c>
      <c r="B20" s="6" t="s">
        <v>64</v>
      </c>
      <c r="C20" s="9">
        <v>16.0</v>
      </c>
      <c r="D20" s="9">
        <v>7.0</v>
      </c>
      <c r="E20" s="13">
        <v>30.0</v>
      </c>
      <c r="F20" s="9">
        <v>44.0</v>
      </c>
      <c r="G20" s="9">
        <v>1.0</v>
      </c>
      <c r="H20" s="9" t="str">
        <f t="shared" si="1"/>
        <v>68.1818</v>
      </c>
      <c r="I20" s="9" t="str">
        <f t="shared" si="2"/>
        <v>5</v>
      </c>
      <c r="J20" s="9" t="str">
        <f>ROUND(BATTING!$F20/(BATTING!$K20+BATTING!$L20),4)</f>
        <v>44</v>
      </c>
      <c r="K20" s="9">
        <v>0.0</v>
      </c>
      <c r="L20" s="9">
        <v>1.0</v>
      </c>
      <c r="M20" s="9">
        <v>0.0</v>
      </c>
      <c r="N20" s="7">
        <v>0.0</v>
      </c>
      <c r="O20" s="12" t="s">
        <v>65</v>
      </c>
      <c r="P20" s="9"/>
    </row>
    <row r="21" ht="14.25" customHeight="1">
      <c r="A21" s="11">
        <v>21.0</v>
      </c>
      <c r="B21" s="6" t="s">
        <v>66</v>
      </c>
      <c r="C21" s="9">
        <v>13.0</v>
      </c>
      <c r="D21" s="9">
        <v>9.0</v>
      </c>
      <c r="E21" s="13">
        <v>27.0</v>
      </c>
      <c r="F21" s="9">
        <v>44.0</v>
      </c>
      <c r="G21" s="9">
        <v>2.0</v>
      </c>
      <c r="H21" s="9" t="str">
        <f t="shared" si="1"/>
        <v>61.3636</v>
      </c>
      <c r="I21" s="9" t="str">
        <f t="shared" si="2"/>
        <v>3.8571</v>
      </c>
      <c r="J21" s="9" t="str">
        <f>ROUND(BATTING!$F21/(BATTING!$K21+BATTING!$L21),4)</f>
        <v>14.6667</v>
      </c>
      <c r="K21" s="9">
        <v>0.0</v>
      </c>
      <c r="L21" s="9">
        <v>3.0</v>
      </c>
      <c r="M21" s="9">
        <v>0.0</v>
      </c>
      <c r="N21" s="7">
        <v>0.0</v>
      </c>
      <c r="O21" s="12" t="s">
        <v>67</v>
      </c>
      <c r="P21" s="9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16.88"/>
    <col customWidth="1" min="3" max="3" width="11.88"/>
    <col customWidth="1" min="4" max="4" width="8.88"/>
    <col customWidth="1" min="5" max="5" width="11.5"/>
    <col customWidth="1" min="6" max="6" width="7.63"/>
    <col customWidth="1" min="7" max="7" width="12.38"/>
    <col customWidth="1" min="8" max="8" width="11.5"/>
    <col customWidth="1" min="9" max="9" width="14.63"/>
    <col customWidth="1" min="10" max="11" width="6.25"/>
    <col customWidth="1" min="12" max="12" width="8.5"/>
    <col customWidth="1" min="13" max="13" width="8.63"/>
  </cols>
  <sheetData>
    <row r="1" ht="14.25" customHeight="1">
      <c r="A1" s="1" t="s">
        <v>0</v>
      </c>
      <c r="B1" s="2" t="s">
        <v>68</v>
      </c>
      <c r="C1" s="2" t="s">
        <v>2</v>
      </c>
      <c r="D1" s="2" t="s">
        <v>69</v>
      </c>
      <c r="E1" s="3" t="s">
        <v>70</v>
      </c>
      <c r="F1" s="2" t="s">
        <v>4</v>
      </c>
      <c r="G1" s="2" t="s">
        <v>71</v>
      </c>
      <c r="H1" s="2" t="s">
        <v>8</v>
      </c>
      <c r="I1" s="2" t="s">
        <v>72</v>
      </c>
      <c r="J1" s="2" t="s">
        <v>73</v>
      </c>
      <c r="K1" s="2" t="s">
        <v>74</v>
      </c>
      <c r="L1" s="2" t="s">
        <v>13</v>
      </c>
      <c r="M1" s="2" t="s">
        <v>14</v>
      </c>
    </row>
    <row r="2" ht="14.25" customHeight="1">
      <c r="A2" s="5">
        <v>1.0</v>
      </c>
      <c r="B2" s="6" t="s">
        <v>34</v>
      </c>
      <c r="C2" s="9">
        <v>103.0</v>
      </c>
      <c r="D2" s="9">
        <v>157.0</v>
      </c>
      <c r="E2" s="14">
        <v>112.0</v>
      </c>
      <c r="F2" s="9">
        <v>1540.0</v>
      </c>
      <c r="G2" s="9" t="str">
        <f t="shared" ref="G2:G16" si="1">ROUND(F2*6 / (INT(D2)*6 + MOD(D2,1)*10),4)</f>
        <v>9.8089</v>
      </c>
      <c r="H2" s="9" t="str">
        <f t="shared" ref="H2:H14" si="2">ROUND(F2/E2,4)</f>
        <v>13.75</v>
      </c>
      <c r="I2" s="9" t="str">
        <f t="shared" ref="I2:I14" si="3">ROUND(IF(E2=0,"-", (INT(D2)*6 + MOD(D2,1)*10) / E2),4)</f>
        <v>8.4107</v>
      </c>
      <c r="J2" s="9">
        <v>11.0</v>
      </c>
      <c r="K2" s="9">
        <v>2.0</v>
      </c>
      <c r="L2" s="9" t="s">
        <v>75</v>
      </c>
      <c r="M2" s="9" t="s">
        <v>76</v>
      </c>
    </row>
    <row r="3" ht="14.25" customHeight="1">
      <c r="A3">
        <v>2.0</v>
      </c>
      <c r="B3" s="6" t="s">
        <v>15</v>
      </c>
      <c r="C3" s="7">
        <v>84.0</v>
      </c>
      <c r="D3" s="7">
        <v>147.4</v>
      </c>
      <c r="E3" s="8">
        <v>93.0</v>
      </c>
      <c r="F3" s="7">
        <v>1566.0</v>
      </c>
      <c r="G3" s="9" t="str">
        <f t="shared" si="1"/>
        <v>10.605</v>
      </c>
      <c r="H3" s="9" t="str">
        <f t="shared" si="2"/>
        <v>16.8387</v>
      </c>
      <c r="I3" s="9" t="str">
        <f t="shared" si="3"/>
        <v>9.5269</v>
      </c>
      <c r="J3" s="7">
        <v>10.0</v>
      </c>
      <c r="K3" s="9">
        <v>1.0</v>
      </c>
      <c r="L3" s="9" t="s">
        <v>77</v>
      </c>
      <c r="M3" s="9" t="s">
        <v>78</v>
      </c>
    </row>
    <row r="4" ht="14.25" customHeight="1">
      <c r="A4" s="5">
        <v>3.0</v>
      </c>
      <c r="B4" s="6" t="s">
        <v>17</v>
      </c>
      <c r="C4" s="7">
        <v>72.0</v>
      </c>
      <c r="D4" s="7">
        <v>122.2</v>
      </c>
      <c r="E4" s="8">
        <v>83.0</v>
      </c>
      <c r="F4" s="7">
        <v>1287.0</v>
      </c>
      <c r="G4" s="9" t="str">
        <f t="shared" si="1"/>
        <v>10.5204</v>
      </c>
      <c r="H4" s="9" t="str">
        <f t="shared" si="2"/>
        <v>15.506</v>
      </c>
      <c r="I4" s="9" t="str">
        <f t="shared" si="3"/>
        <v>8.8434</v>
      </c>
      <c r="J4" s="9">
        <v>6.0</v>
      </c>
      <c r="K4" s="9">
        <v>0.0</v>
      </c>
      <c r="L4" s="9" t="s">
        <v>79</v>
      </c>
      <c r="M4" s="7" t="s">
        <v>80</v>
      </c>
    </row>
    <row r="5" ht="14.25" customHeight="1">
      <c r="A5">
        <v>4.0</v>
      </c>
      <c r="B5" s="6" t="s">
        <v>26</v>
      </c>
      <c r="C5" s="7">
        <v>59.0</v>
      </c>
      <c r="D5" s="7">
        <v>96.5</v>
      </c>
      <c r="E5" s="8">
        <v>64.0</v>
      </c>
      <c r="F5" s="7">
        <v>1024.0</v>
      </c>
      <c r="G5" s="9" t="str">
        <f t="shared" si="1"/>
        <v>10.5749</v>
      </c>
      <c r="H5" s="9" t="str">
        <f t="shared" si="2"/>
        <v>16</v>
      </c>
      <c r="I5" s="9" t="str">
        <f t="shared" si="3"/>
        <v>9.0781</v>
      </c>
      <c r="J5" s="9">
        <v>9.0</v>
      </c>
      <c r="K5" s="9">
        <v>0.0</v>
      </c>
      <c r="L5" s="9" t="s">
        <v>81</v>
      </c>
      <c r="M5" s="7" t="s">
        <v>82</v>
      </c>
    </row>
    <row r="6" ht="14.25" customHeight="1">
      <c r="A6" s="5">
        <v>5.0</v>
      </c>
      <c r="B6" s="6" t="s">
        <v>23</v>
      </c>
      <c r="C6" s="7">
        <v>87.0</v>
      </c>
      <c r="D6" s="7">
        <v>88.3</v>
      </c>
      <c r="E6" s="8">
        <v>63.0</v>
      </c>
      <c r="F6" s="7">
        <v>934.0</v>
      </c>
      <c r="G6" s="9" t="str">
        <f t="shared" si="1"/>
        <v>10.5537</v>
      </c>
      <c r="H6" s="9" t="str">
        <f t="shared" si="2"/>
        <v>14.8254</v>
      </c>
      <c r="I6" s="9" t="str">
        <f t="shared" si="3"/>
        <v>8.4286</v>
      </c>
      <c r="J6" s="7">
        <v>7.0</v>
      </c>
      <c r="K6" s="9">
        <v>0.0</v>
      </c>
      <c r="L6" s="9" t="s">
        <v>83</v>
      </c>
      <c r="M6" s="7" t="s">
        <v>84</v>
      </c>
    </row>
    <row r="7" ht="14.25" customHeight="1">
      <c r="A7">
        <v>6.0</v>
      </c>
      <c r="B7" s="6" t="s">
        <v>49</v>
      </c>
      <c r="C7" s="9">
        <v>64.0</v>
      </c>
      <c r="D7" s="9">
        <v>50.2</v>
      </c>
      <c r="E7" s="13">
        <v>29.0</v>
      </c>
      <c r="F7" s="9">
        <v>467.0</v>
      </c>
      <c r="G7" s="9" t="str">
        <f t="shared" si="1"/>
        <v>9.2781</v>
      </c>
      <c r="H7" s="9" t="str">
        <f t="shared" si="2"/>
        <v>16.1034</v>
      </c>
      <c r="I7" s="9" t="str">
        <f t="shared" si="3"/>
        <v>10.4138</v>
      </c>
      <c r="J7" s="9">
        <v>2.0</v>
      </c>
      <c r="K7" s="9">
        <v>0.0</v>
      </c>
      <c r="L7" s="9" t="s">
        <v>85</v>
      </c>
      <c r="M7" s="9" t="s">
        <v>86</v>
      </c>
    </row>
    <row r="8" ht="14.25" customHeight="1">
      <c r="A8" s="5">
        <v>7.0</v>
      </c>
      <c r="B8" s="6" t="s">
        <v>52</v>
      </c>
      <c r="C8" s="9">
        <v>46.0</v>
      </c>
      <c r="D8" s="9">
        <v>34.5</v>
      </c>
      <c r="E8" s="13">
        <v>27.0</v>
      </c>
      <c r="F8" s="9">
        <v>329.0</v>
      </c>
      <c r="G8" s="9" t="str">
        <f t="shared" si="1"/>
        <v>9.445</v>
      </c>
      <c r="H8" s="9" t="str">
        <f t="shared" si="2"/>
        <v>12.1852</v>
      </c>
      <c r="I8" s="9" t="str">
        <f t="shared" si="3"/>
        <v>7.7407</v>
      </c>
      <c r="J8" s="9">
        <v>3.0</v>
      </c>
      <c r="K8" s="9">
        <v>0.0</v>
      </c>
      <c r="L8" s="9" t="s">
        <v>87</v>
      </c>
      <c r="M8" s="9" t="s">
        <v>88</v>
      </c>
    </row>
    <row r="9" ht="14.25" customHeight="1">
      <c r="A9">
        <v>8.0</v>
      </c>
      <c r="B9" s="6" t="s">
        <v>55</v>
      </c>
      <c r="C9" s="9">
        <v>31.0</v>
      </c>
      <c r="D9" s="9">
        <v>38.0</v>
      </c>
      <c r="E9" s="13">
        <v>25.0</v>
      </c>
      <c r="F9" s="9">
        <v>367.0</v>
      </c>
      <c r="G9" s="9" t="str">
        <f t="shared" si="1"/>
        <v>9.6579</v>
      </c>
      <c r="H9" s="9" t="str">
        <f t="shared" si="2"/>
        <v>14.68</v>
      </c>
      <c r="I9" s="9" t="str">
        <f t="shared" si="3"/>
        <v>9.12</v>
      </c>
      <c r="J9" s="9">
        <v>2.0</v>
      </c>
      <c r="K9" s="9">
        <v>0.0</v>
      </c>
      <c r="L9" s="9" t="s">
        <v>89</v>
      </c>
      <c r="M9" s="9"/>
    </row>
    <row r="10" ht="14.25" customHeight="1">
      <c r="A10" s="5">
        <v>9.0</v>
      </c>
      <c r="B10" s="6" t="s">
        <v>46</v>
      </c>
      <c r="C10" s="9">
        <v>33.0</v>
      </c>
      <c r="D10" s="9">
        <v>40.0</v>
      </c>
      <c r="E10" s="13">
        <v>23.0</v>
      </c>
      <c r="F10" s="9">
        <v>371.0</v>
      </c>
      <c r="G10" s="9" t="str">
        <f t="shared" si="1"/>
        <v>9.275</v>
      </c>
      <c r="H10" s="9" t="str">
        <f t="shared" si="2"/>
        <v>16.1304</v>
      </c>
      <c r="I10" s="9" t="str">
        <f t="shared" si="3"/>
        <v>10.4348</v>
      </c>
      <c r="J10" s="9">
        <v>2.0</v>
      </c>
      <c r="K10" s="9">
        <v>0.0</v>
      </c>
      <c r="L10" s="9" t="s">
        <v>90</v>
      </c>
      <c r="M10" s="9" t="s">
        <v>91</v>
      </c>
    </row>
    <row r="11" ht="14.25" customHeight="1">
      <c r="A11">
        <v>10.0</v>
      </c>
      <c r="B11" s="6" t="s">
        <v>62</v>
      </c>
      <c r="C11" s="9">
        <v>18.0</v>
      </c>
      <c r="D11" s="9">
        <v>15.2</v>
      </c>
      <c r="E11" s="13">
        <v>13.0</v>
      </c>
      <c r="F11" s="9">
        <v>151.0</v>
      </c>
      <c r="G11" s="9" t="str">
        <f t="shared" si="1"/>
        <v>9.8478</v>
      </c>
      <c r="H11" s="9" t="str">
        <f t="shared" si="2"/>
        <v>11.6154</v>
      </c>
      <c r="I11" s="9" t="str">
        <f t="shared" si="3"/>
        <v>7.0769</v>
      </c>
      <c r="J11" s="9">
        <v>0.0</v>
      </c>
      <c r="K11" s="9">
        <v>0.0</v>
      </c>
      <c r="L11" s="9" t="s">
        <v>92</v>
      </c>
      <c r="M11" s="9"/>
    </row>
    <row r="12" ht="14.25" customHeight="1">
      <c r="A12" s="5">
        <v>11.0</v>
      </c>
      <c r="B12" s="6" t="s">
        <v>29</v>
      </c>
      <c r="C12" s="9">
        <v>46.0</v>
      </c>
      <c r="D12" s="9">
        <v>6.0</v>
      </c>
      <c r="E12" s="13">
        <v>3.0</v>
      </c>
      <c r="F12" s="9">
        <v>73.0</v>
      </c>
      <c r="G12" s="9" t="str">
        <f t="shared" si="1"/>
        <v>12.1667</v>
      </c>
      <c r="H12" s="9" t="str">
        <f t="shared" si="2"/>
        <v>24.3333</v>
      </c>
      <c r="I12" s="9" t="str">
        <f t="shared" si="3"/>
        <v>12</v>
      </c>
      <c r="J12" s="9">
        <v>0.0</v>
      </c>
      <c r="K12" s="9">
        <v>0.0</v>
      </c>
      <c r="L12" s="15" t="s">
        <v>93</v>
      </c>
      <c r="M12" s="9"/>
    </row>
    <row r="13" ht="14.25" customHeight="1">
      <c r="A13" s="11">
        <v>12.0</v>
      </c>
      <c r="B13" s="6" t="s">
        <v>58</v>
      </c>
      <c r="C13" s="9">
        <v>12.0</v>
      </c>
      <c r="D13" s="9">
        <v>9.0</v>
      </c>
      <c r="E13" s="13">
        <v>3.0</v>
      </c>
      <c r="F13" s="9">
        <v>129.0</v>
      </c>
      <c r="G13" s="9" t="str">
        <f t="shared" si="1"/>
        <v>14.3333</v>
      </c>
      <c r="H13" s="9" t="str">
        <f t="shared" si="2"/>
        <v>43</v>
      </c>
      <c r="I13" s="9" t="str">
        <f t="shared" si="3"/>
        <v>18</v>
      </c>
      <c r="J13" s="9">
        <v>0.0</v>
      </c>
      <c r="K13" s="9">
        <v>0.0</v>
      </c>
      <c r="L13" s="9" t="s">
        <v>94</v>
      </c>
      <c r="M13" s="9"/>
    </row>
    <row r="14" ht="14.25" customHeight="1">
      <c r="A14" s="5">
        <v>13.0</v>
      </c>
      <c r="B14" s="6" t="s">
        <v>20</v>
      </c>
      <c r="C14" s="7">
        <v>76.0</v>
      </c>
      <c r="D14" s="7">
        <v>2.3</v>
      </c>
      <c r="E14" s="13">
        <v>1.0</v>
      </c>
      <c r="F14" s="7">
        <v>15.0</v>
      </c>
      <c r="G14" s="9" t="str">
        <f t="shared" si="1"/>
        <v>6</v>
      </c>
      <c r="H14" s="9" t="str">
        <f t="shared" si="2"/>
        <v>15</v>
      </c>
      <c r="I14" s="9" t="str">
        <f t="shared" si="3"/>
        <v>15</v>
      </c>
      <c r="J14" s="9">
        <v>0.0</v>
      </c>
      <c r="K14" s="9">
        <v>0.0</v>
      </c>
      <c r="L14" s="9" t="s">
        <v>95</v>
      </c>
      <c r="M14" s="7" t="s">
        <v>96</v>
      </c>
    </row>
    <row r="15" ht="14.25" customHeight="1">
      <c r="A15" s="11">
        <v>14.0</v>
      </c>
      <c r="B15" s="6" t="s">
        <v>37</v>
      </c>
      <c r="C15" s="9">
        <v>54.0</v>
      </c>
      <c r="D15" s="9">
        <v>2.0</v>
      </c>
      <c r="E15" s="13">
        <v>0.0</v>
      </c>
      <c r="F15" s="9">
        <v>23.0</v>
      </c>
      <c r="G15" s="9" t="str">
        <f t="shared" si="1"/>
        <v>11.5</v>
      </c>
      <c r="H15" s="9" t="s">
        <v>97</v>
      </c>
      <c r="I15" s="9" t="s">
        <v>97</v>
      </c>
      <c r="J15" s="9">
        <v>0.0</v>
      </c>
      <c r="K15" s="9">
        <v>0.0</v>
      </c>
      <c r="L15" s="9" t="s">
        <v>98</v>
      </c>
      <c r="M15" s="9"/>
    </row>
    <row r="16" ht="14.25" customHeight="1">
      <c r="A16" s="5">
        <v>15.0</v>
      </c>
      <c r="B16" s="6" t="s">
        <v>64</v>
      </c>
      <c r="C16" s="9">
        <v>16.0</v>
      </c>
      <c r="D16" s="9">
        <v>0.4</v>
      </c>
      <c r="E16" s="13">
        <v>0.0</v>
      </c>
      <c r="F16" s="9">
        <v>14.0</v>
      </c>
      <c r="G16" s="9" t="str">
        <f t="shared" si="1"/>
        <v>21</v>
      </c>
      <c r="H16" s="9" t="s">
        <v>97</v>
      </c>
      <c r="I16" s="9" t="s">
        <v>97</v>
      </c>
      <c r="J16" s="9">
        <v>0.0</v>
      </c>
      <c r="K16" s="9">
        <v>0.0</v>
      </c>
      <c r="L16" s="9" t="s">
        <v>99</v>
      </c>
      <c r="M16" s="9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5.25"/>
    <col customWidth="1" min="3" max="3" width="7.38"/>
    <col customWidth="1" min="4" max="4" width="12.25"/>
    <col customWidth="1" min="5" max="10" width="8.63"/>
    <col customWidth="1" min="11" max="11" width="12.25"/>
    <col customWidth="1" min="12" max="15" width="8.63"/>
  </cols>
  <sheetData>
    <row r="1" ht="14.25" customHeight="1">
      <c r="A1" t="s">
        <v>100</v>
      </c>
      <c r="B1" t="s">
        <v>101</v>
      </c>
      <c r="C1" t="s">
        <v>102</v>
      </c>
      <c r="D1" t="s">
        <v>103</v>
      </c>
      <c r="H1" t="s">
        <v>101</v>
      </c>
      <c r="K1" t="s">
        <v>103</v>
      </c>
      <c r="N1" t="s">
        <v>102</v>
      </c>
    </row>
    <row r="2" ht="14.25" customHeight="1">
      <c r="A2" t="s">
        <v>104</v>
      </c>
      <c r="B2" t="str">
        <f t="shared" ref="B2:D2" si="1">B3+B4+B5</f>
        <v>10</v>
      </c>
      <c r="C2" t="str">
        <f t="shared" si="1"/>
        <v>1</v>
      </c>
      <c r="D2" t="str">
        <f t="shared" si="1"/>
        <v>2</v>
      </c>
      <c r="H2" t="s">
        <v>105</v>
      </c>
      <c r="I2" s="16">
        <v>46033.0</v>
      </c>
      <c r="K2" s="16" t="s">
        <v>106</v>
      </c>
      <c r="L2" s="16">
        <v>46143.0</v>
      </c>
      <c r="N2" t="s">
        <v>107</v>
      </c>
      <c r="O2" s="16">
        <v>46146.0</v>
      </c>
    </row>
    <row r="3" ht="14.25" customHeight="1">
      <c r="A3" t="s">
        <v>108</v>
      </c>
      <c r="B3">
        <v>5.0</v>
      </c>
      <c r="C3">
        <v>0.0</v>
      </c>
      <c r="D3">
        <v>1.0</v>
      </c>
      <c r="H3" t="s">
        <v>109</v>
      </c>
      <c r="I3" s="16">
        <v>46038.0</v>
      </c>
      <c r="K3" t="s">
        <v>110</v>
      </c>
      <c r="L3" s="16">
        <v>46147.0</v>
      </c>
    </row>
    <row r="4" ht="14.25" customHeight="1">
      <c r="A4" t="s">
        <v>111</v>
      </c>
      <c r="B4">
        <v>3.0</v>
      </c>
      <c r="C4">
        <v>1.0</v>
      </c>
      <c r="D4">
        <v>1.0</v>
      </c>
      <c r="H4" s="16" t="s">
        <v>110</v>
      </c>
      <c r="I4" s="16">
        <v>46042.0</v>
      </c>
    </row>
    <row r="5" ht="14.25" customHeight="1">
      <c r="A5" t="s">
        <v>112</v>
      </c>
      <c r="B5">
        <v>2.0</v>
      </c>
      <c r="C5">
        <v>0.0</v>
      </c>
      <c r="D5">
        <v>0.0</v>
      </c>
      <c r="H5" s="16" t="s">
        <v>106</v>
      </c>
      <c r="I5" s="16">
        <v>46071.0</v>
      </c>
    </row>
    <row r="6" ht="14.25" customHeight="1">
      <c r="H6" s="16" t="s">
        <v>113</v>
      </c>
      <c r="I6" s="16">
        <v>46076.0</v>
      </c>
    </row>
    <row r="7" ht="14.25" customHeight="1">
      <c r="A7" t="s">
        <v>114</v>
      </c>
      <c r="B7" t="s">
        <v>101</v>
      </c>
      <c r="C7" t="s">
        <v>102</v>
      </c>
      <c r="D7" t="s">
        <v>103</v>
      </c>
      <c r="H7" s="16" t="s">
        <v>113</v>
      </c>
      <c r="I7" s="16">
        <v>46080.0</v>
      </c>
    </row>
    <row r="8" ht="14.25" customHeight="1">
      <c r="A8" t="s">
        <v>104</v>
      </c>
      <c r="B8" t="str">
        <f t="shared" ref="B8:D8" si="2">B9+B10+B11</f>
        <v>28</v>
      </c>
      <c r="C8" t="str">
        <f t="shared" si="2"/>
        <v>2</v>
      </c>
      <c r="D8" t="str">
        <f t="shared" si="2"/>
        <v>6</v>
      </c>
      <c r="H8" s="16" t="s">
        <v>110</v>
      </c>
      <c r="I8" s="16">
        <v>46093.0</v>
      </c>
    </row>
    <row r="9" ht="14.25" customHeight="1">
      <c r="A9" t="s">
        <v>108</v>
      </c>
      <c r="B9">
        <v>16.0</v>
      </c>
      <c r="C9">
        <v>0.0</v>
      </c>
      <c r="D9">
        <v>3.0</v>
      </c>
      <c r="H9" s="16" t="s">
        <v>115</v>
      </c>
      <c r="I9" s="16">
        <v>46118.0</v>
      </c>
    </row>
    <row r="10" ht="14.25" customHeight="1">
      <c r="A10" t="s">
        <v>111</v>
      </c>
      <c r="B10">
        <v>12.0</v>
      </c>
      <c r="C10">
        <v>2.0</v>
      </c>
      <c r="D10">
        <v>3.0</v>
      </c>
      <c r="H10" s="16" t="s">
        <v>115</v>
      </c>
      <c r="I10" s="16">
        <v>46129.0</v>
      </c>
    </row>
    <row r="11" ht="14.25" customHeight="1">
      <c r="A11" t="s">
        <v>112</v>
      </c>
      <c r="B11">
        <v>0.0</v>
      </c>
      <c r="C11">
        <v>0.0</v>
      </c>
      <c r="D11">
        <v>0.0</v>
      </c>
      <c r="H11" s="16" t="s">
        <v>106</v>
      </c>
      <c r="I11" s="16">
        <v>46187.0</v>
      </c>
    </row>
    <row r="12" ht="14.25" customHeight="1">
      <c r="H12" s="16" t="s">
        <v>113</v>
      </c>
      <c r="I12" t="s">
        <v>116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BATTING</vt:lpstr>
      <vt:lpstr>BOWLING</vt:lpstr>
      <vt:lpstr>TEAM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2026-02-23T16:53:46Z</dcterms:created>
  <dc:creator>Shashank Shetty</dc:creator>
  <cp:lastModifiedBy>Shashank Shetty</cp:lastModifiedBy>
  <dcterms:modified xsi:type="dcterms:W3CDTF">2026-09-11T14:59:17Z</dcterms:modified>
</cp:coreProperties>
</file>