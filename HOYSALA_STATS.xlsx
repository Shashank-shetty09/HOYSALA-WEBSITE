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3EA32D91-DC7D-49C7-A917-FF3252D562D0}" xr6:coauthVersionLast="47" xr6:coauthVersionMax="47" xr10:uidLastSave="{00000000-0000-0000-0000-000000000000}"/>
  <bookViews>
    <workbookView xWindow="-108" yWindow="-108" windowWidth="23256" windowHeight="13176" activeTab="1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<sst xmlns="http://schemas.openxmlformats.org/spreadsheetml/2006/main" count="160" uniqueCount="116">
  <si>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</si>
  <si>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</si>
  <si>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</si>
  <si>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</si>
  <si>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</si>
  <si>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</si>
  <si>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</si>
  <si>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</si>
  <si>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</si>
  <si>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</si>
  <si>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</si>
  <si>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</si>
  <si>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</si>
  <si>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</si>
  <si>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</si>
  <si>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</si>
  <si>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</si>
  <si>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</si>
  <si>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</si>
  <si>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</si>
  <si>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</si>
  <si>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</si>
  <si>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</si>
  <si>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</si>
  <si>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</si>
  <si>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</si>
  <si>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</si>
  <si>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</si>
  <si>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</si>
  <si>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</si>
  <si>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</si>
  <si>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</si>
  <si>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</si>
  <si>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</si>
  <si>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</si>
  <si>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</si>
  <si>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</si>
  <si>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</si>
  <si>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</si>
  <si>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</si>
  <si>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</si>
  <si>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</si>
  <si>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</si>
  <si>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</si>
  <si>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</si>
  <si>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</si>
  <si>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</si>
  <si>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</si>
  <si>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</si>
  <si>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</si>
  <si>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</si>
  <si>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</si>
  <si>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</si>
  <si>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</si>
  <si>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</si>
  <si>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</si>
  <si>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</si>
  <si>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</si>
  <si>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</si>
  <si>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</si>
  <si>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</si>
  <si>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</si>
  <si>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</si>
  <si>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</si>
  <si>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25(20)*</t>
  </si>
  <si>
    <t>VANSH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</si>
  <si>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</si>
  <si>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</si>
  <si>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</si>
  <si>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</si>
  <si>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</si>
  <si>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</si>
  <si>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</si>
  <si>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</si>
  <si>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</si>
  <si>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</si>
  <si>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</si>
  <si>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</si>
  <si>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</si>
  <si>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</si>
  <si>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</si>
  <si>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</si>
  <si>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</si>
  <si>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</si>
  <si>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</si>
  <si>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</si>
  <si>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</si>
  <si>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</si>
  <si>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</si>
  <si>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</si>
  <si>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</si>
  <si>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</si>
  <si>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</si>
  <si>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</si>
  <si>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</si>
  <si>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</si>
  <si>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</si>
  <si>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</si>
  <si>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</si>
  <si>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</si>
  <si>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</si>
  <si>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</si>
  <si>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</si>
  <si>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</si>
  <si>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</si>
  <si>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</si>
  <si>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</si>
  <si>
    <t>RECENT</t>
  </si>
  <si>
    <t>58*(17)</t>
  </si>
  <si>
    <t>20*(8)</t>
  </si>
  <si>
    <t>4(2)</t>
  </si>
  <si>
    <t>0(2)</t>
  </si>
  <si>
    <t>3-0-21-5</t>
  </si>
  <si>
    <t>2-0-18-2</t>
  </si>
  <si>
    <t>2-0-14-0</t>
  </si>
  <si>
    <t>1-0-19-0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</si>
</sst>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F7BC35-31AD-41F6-81A2-05071E6BA397}" name="Table22" displayName="Table22" ref="B1:O28" totalsRowShown="0" headerRowDxfId="15">
  <autoFilter ref="B1:O28" xr:uid="{67F7BC35-31AD-41F6-81A2-05071E6BA397}"/>
  <sortState xmlns:xlrd2="http://schemas.microsoft.com/office/spreadsheetml/2017/richdata2" ref="B2:N28">
    <sortCondition descending="1" ref="E2:E29"/>
  </sortState>
  <tableColumns count="14">
    <tableColumn id="1" xr3:uid="{C4596198-6823-49E9-840A-EB1CCD1C6499}" name="BATSMAN" dataDxfId="13" totalsRowDxfId="14"/>
    <tableColumn id="2" xr3:uid="{31DB3E8D-569F-459B-8A3E-5AFAD98FE45C}" name="MATCHES"/>
    <tableColumn id="3" xr3:uid="{10B0133B-BB47-434B-886F-2C16BF5301E0}" name="INNINGS"/>
    <tableColumn id="4" xr3:uid="{2082E380-1E12-42A0-B04B-643E114CC4C7}" name="RUNS" dataDxfId="11" totalsRowDxfId="12"/>
    <tableColumn id="5" xr3:uid="{2DC4C206-531D-4149-B8A2-A5171877E304}" name="BALLS"/>
    <tableColumn id="6" xr3:uid="{AB7A81D0-152F-4835-9515-54ECE6220D44}" name="NOT OUTS"/>
    <tableColumn id="7" xr3:uid="{ECB09DDC-2B9F-46F7-AE4D-2C4773017975}" name="STRIKERATE" dataDxfId="10">
      <calculatedColumnFormula>ROUND((E2*100)/F2,4)</calculatedColumnFormula>
    </tableColumn>
    <tableColumn id="8" xr3:uid="{ACF9BDDA-D2ED-4274-A2DD-F7BB41701E40}" name="AVERAGE">
      <calculatedColumnFormula>ROUND(E2/(D2-G2),4)</calculatedColumnFormula>
    </tableColumn>
    <tableColumn id="13" xr3:uid="{2DE9D728-2E50-4458-8A95-246BAE241202}" name="Balls/bdry" dataDxfId="9">
      <calculatedColumnFormula>ROUND(Table22[[#This Row],[BALLS]]/(Table22[[#This Row],[SIXES]]+Table22[[#This Row],[FOURS]]),4)</calculatedColumnFormula>
    </tableColumn>
    <tableColumn id="9" xr3:uid="{07995681-80AB-4B28-8161-5DCB7813A022}" name="SIXES"/>
    <tableColumn id="10" xr3:uid="{1B4E1C97-91C6-44D5-9AB6-88F6163A1318}" name="FOURS"/>
    <tableColumn id="11" xr3:uid="{F1B235E5-56A3-43A4-A557-0915B09E94E6}" name="50"/>
    <tableColumn id="12" xr3:uid="{77F36A51-F18F-4D19-BA45-3ED1E1C6EC8C}" name="BEST" dataDxfId="8"/>
    <tableColumn id="14" xr3:uid="{2A1B93C1-7B5D-4F7A-8523-7166C0EB0172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B04BBE-4DFE-48E5-A0EE-501FB2E47A4D}" name="Table33" displayName="Table33" ref="B1:M16" totalsRowShown="0" headerRowDxfId="7">
  <autoFilter ref="B1:M16" xr:uid="{6DB04BBE-4DFE-48E5-A0EE-501FB2E47A4D}"/>
  <sortState xmlns:xlrd2="http://schemas.microsoft.com/office/spreadsheetml/2017/richdata2" ref="B2:L16">
    <sortCondition descending="1" ref="E2:E17"/>
  </sortState>
  <tableColumns count="12">
    <tableColumn id="1" xr3:uid="{366B6ED9-4BB8-4668-A546-D64ED4090699}" name="BOWLER" dataDxfId="5" totalsRowDxfId="6"/>
    <tableColumn id="2" xr3:uid="{EF328BE9-A3CA-4773-ADBE-133027C778B8}" name="MATCHES"/>
    <tableColumn id="3" xr3:uid="{03FC791D-2DE5-4BC6-8425-6DA9B63C4347}" name="OVERS"/>
    <tableColumn id="5" xr3:uid="{903E4C46-08F8-437E-B106-0C268718612A}" name="WICKETS" dataDxfId="3" totalsRowDxfId="4"/>
    <tableColumn id="6" xr3:uid="{9FD5AA48-A664-4A4C-9E26-AF0C6D5A33BD}" name="RUNS"/>
    <tableColumn id="7" xr3:uid="{0AC0F340-FBBD-4540-B684-4D7B8960AA20}" name="ECONOMY" dataDxfId="2">
      <calculatedColumnFormula>ROUND(F2*6 / (INT(D2)*6 + MOD(D2,1)*10),4)</calculatedColumnFormula>
    </tableColumn>
    <tableColumn id="8" xr3:uid="{6419730E-B595-4914-96A7-6FB6BBD792A1}" name="AVERAGE">
      <calculatedColumnFormula>F2/E2</calculatedColumnFormula>
    </tableColumn>
    <tableColumn id="9" xr3:uid="{81AF8C59-F0FB-4D50-98A5-08C7CEA345DE}" name="STRIKE RATE" dataDxfId="1">
      <calculatedColumnFormula>ROUND(IF(E2=0,"-", (INT(D2)*6 + MOD(D2,1)*10) / E2),4)</calculatedColumnFormula>
    </tableColumn>
    <tableColumn id="10" xr3:uid="{72A3FD53-E81A-4E47-A462-3FE77818A574}" name="3-W"/>
    <tableColumn id="11" xr3:uid="{EE0CD943-F9BE-46B8-8A6E-4E8E4EE5E8BF}" name="5-W"/>
    <tableColumn id="12" xr3:uid="{D87F4CCC-333E-40FB-835E-68F023B75530}" name="BEST" totalsRowDxfId="0"/>
    <tableColumn id="4" xr3:uid="{8F7E0349-BC4B-4849-8E75-C28D0FE0BC92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O28"/>
  <sheetViews>
    <sheetView zoomScale="90" zoomScaleNormal="90" workbookViewId="0">
      <selection activeCell="F32" sqref="F32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5" ht="17.399999999999999" x14ac:dyDescent="0.35">
      <c r="A1" s="6" t="s">
        <v>101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68</v>
      </c>
      <c r="K1" s="2" t="s">
        <v>6</v>
      </c>
      <c r="L1" s="2" t="s">
        <v>7</v>
      </c>
      <c r="M1" s="2" t="s">
        <v>61</v>
      </c>
      <c r="N1" s="2" t="s">
        <v>37</v>
      </c>
      <c r="O1" s="2" t="s">
        <v>107</v>
      </c>
    </row>
    <row r="2" spans="1:15" ht="15.6" x14ac:dyDescent="0.3">
      <c r="A2" s="7">
        <v>1</v>
      </c>
      <c r="B2" s="5" t="s">
        <v>12</v>
      </c>
      <c r="C2">
        <v>73</v>
      </c>
      <c r="D2">
        <v>66</v>
      </c>
      <c r="E2" s="4">
        <v>1329</v>
      </c>
      <c r="F2">
        <v>605</v>
      </c>
      <c r="G2">
        <v>6</v>
      </c>
      <c r="H2">
        <f t="shared" ref="H2:H28" si="0">ROUND((E2*100)/F2,4)</f>
        <v>219.6694</v>
      </c>
      <c r="I2">
        <f t="shared" ref="I2:I27" si="1">ROUND(E2/(D2-G2),4)</f>
        <v>22.15</v>
      </c>
      <c r="J2">
        <f>ROUND(Table22[[#This Row],[BALLS]]/(Table22[[#This Row],[SIXES]]+Table22[[#This Row],[FOURS]]),4)</f>
        <v>2.7376</v>
      </c>
      <c r="K2">
        <v>136</v>
      </c>
      <c r="L2">
        <v>85</v>
      </c>
      <c r="M2">
        <v>5</v>
      </c>
      <c r="N2" s="8" t="s">
        <v>106</v>
      </c>
      <c r="O2" t="s">
        <v>108</v>
      </c>
    </row>
    <row r="3" spans="1:15" ht="15.6" x14ac:dyDescent="0.3">
      <c r="A3" s="9">
        <v>2</v>
      </c>
      <c r="B3" s="5" t="s">
        <v>36</v>
      </c>
      <c r="C3">
        <v>59</v>
      </c>
      <c r="D3">
        <v>49</v>
      </c>
      <c r="E3" s="4">
        <v>892</v>
      </c>
      <c r="F3">
        <v>520</v>
      </c>
      <c r="G3">
        <v>9</v>
      </c>
      <c r="H3">
        <f t="shared" si="0"/>
        <v>171.5385</v>
      </c>
      <c r="I3">
        <f t="shared" si="1"/>
        <v>22.3</v>
      </c>
      <c r="J3">
        <f>ROUND(Table22[[#This Row],[BALLS]]/(Table22[[#This Row],[SIXES]]+Table22[[#This Row],[FOURS]]),4)</f>
        <v>3.5861999999999998</v>
      </c>
      <c r="K3">
        <v>55</v>
      </c>
      <c r="L3">
        <v>90</v>
      </c>
      <c r="M3">
        <v>1</v>
      </c>
      <c r="N3" s="8" t="s">
        <v>49</v>
      </c>
      <c r="O3" t="s">
        <v>109</v>
      </c>
    </row>
    <row r="4" spans="1:15" ht="15.6" x14ac:dyDescent="0.3">
      <c r="A4" s="7">
        <v>3</v>
      </c>
      <c r="B4" s="5" t="s">
        <v>11</v>
      </c>
      <c r="C4">
        <v>65</v>
      </c>
      <c r="D4">
        <v>56</v>
      </c>
      <c r="E4" s="4">
        <v>534</v>
      </c>
      <c r="F4">
        <v>359</v>
      </c>
      <c r="G4">
        <v>9</v>
      </c>
      <c r="H4">
        <f t="shared" si="0"/>
        <v>148.7465</v>
      </c>
      <c r="I4">
        <f t="shared" si="1"/>
        <v>11.361700000000001</v>
      </c>
      <c r="J4">
        <f>ROUND(Table22[[#This Row],[BALLS]]/(Table22[[#This Row],[SIXES]]+Table22[[#This Row],[FOURS]]),4)</f>
        <v>4.5442999999999998</v>
      </c>
      <c r="K4">
        <v>32</v>
      </c>
      <c r="L4">
        <v>47</v>
      </c>
      <c r="M4">
        <v>1</v>
      </c>
      <c r="N4" s="8" t="s">
        <v>102</v>
      </c>
      <c r="O4" t="s">
        <v>110</v>
      </c>
    </row>
    <row r="5" spans="1:15" ht="15.6" x14ac:dyDescent="0.3">
      <c r="A5" s="9">
        <v>4</v>
      </c>
      <c r="B5" s="5" t="s">
        <v>9</v>
      </c>
      <c r="C5">
        <v>74</v>
      </c>
      <c r="D5">
        <v>59</v>
      </c>
      <c r="E5" s="4">
        <v>489</v>
      </c>
      <c r="F5">
        <v>356</v>
      </c>
      <c r="G5">
        <v>11</v>
      </c>
      <c r="H5">
        <f t="shared" si="0"/>
        <v>137.3596</v>
      </c>
      <c r="I5">
        <f t="shared" si="1"/>
        <v>10.1875</v>
      </c>
      <c r="J5">
        <f>ROUND(Table22[[#This Row],[BALLS]]/(Table22[[#This Row],[SIXES]]+Table22[[#This Row],[FOURS]]),4)</f>
        <v>4.5640999999999998</v>
      </c>
      <c r="K5">
        <v>35</v>
      </c>
      <c r="L5">
        <v>43</v>
      </c>
      <c r="M5">
        <v>1</v>
      </c>
      <c r="N5" s="8" t="s">
        <v>53</v>
      </c>
      <c r="O5" t="s">
        <v>111</v>
      </c>
    </row>
    <row r="6" spans="1:15" ht="15.6" x14ac:dyDescent="0.3">
      <c r="A6" s="7">
        <v>5</v>
      </c>
      <c r="B6" s="5" t="s">
        <v>14</v>
      </c>
      <c r="C6">
        <v>49</v>
      </c>
      <c r="D6">
        <v>39</v>
      </c>
      <c r="E6" s="4">
        <v>417</v>
      </c>
      <c r="F6">
        <v>300</v>
      </c>
      <c r="G6">
        <v>7</v>
      </c>
      <c r="H6">
        <f t="shared" si="0"/>
        <v>139</v>
      </c>
      <c r="I6">
        <f t="shared" si="1"/>
        <v>13.0313</v>
      </c>
      <c r="J6">
        <f>ROUND(Table22[[#This Row],[BALLS]]/(Table22[[#This Row],[SIXES]]+Table22[[#This Row],[FOURS]]),4)</f>
        <v>4.9180000000000001</v>
      </c>
      <c r="K6">
        <v>21</v>
      </c>
      <c r="L6">
        <v>40</v>
      </c>
      <c r="M6">
        <v>0</v>
      </c>
      <c r="N6" s="8" t="s">
        <v>103</v>
      </c>
    </row>
    <row r="7" spans="1:15" ht="15.6" x14ac:dyDescent="0.3">
      <c r="A7" s="9">
        <v>6</v>
      </c>
      <c r="B7" s="5" t="s">
        <v>16</v>
      </c>
      <c r="C7">
        <v>51</v>
      </c>
      <c r="D7">
        <v>40</v>
      </c>
      <c r="E7" s="4">
        <v>309</v>
      </c>
      <c r="F7">
        <v>206</v>
      </c>
      <c r="G7">
        <v>7</v>
      </c>
      <c r="H7">
        <f t="shared" si="0"/>
        <v>150</v>
      </c>
      <c r="I7">
        <f t="shared" si="1"/>
        <v>9.3635999999999999</v>
      </c>
      <c r="J7">
        <f>ROUND(Table22[[#This Row],[BALLS]]/(Table22[[#This Row],[SIXES]]+Table22[[#This Row],[FOURS]]),4)</f>
        <v>4.4782999999999999</v>
      </c>
      <c r="K7">
        <v>29</v>
      </c>
      <c r="L7">
        <v>17</v>
      </c>
      <c r="M7">
        <v>0</v>
      </c>
      <c r="N7" s="8" t="s">
        <v>67</v>
      </c>
    </row>
    <row r="8" spans="1:15" ht="15.6" x14ac:dyDescent="0.3">
      <c r="A8" s="7">
        <v>7</v>
      </c>
      <c r="B8" s="5" t="s">
        <v>13</v>
      </c>
      <c r="C8">
        <v>43</v>
      </c>
      <c r="D8">
        <v>36</v>
      </c>
      <c r="E8" s="4">
        <v>273</v>
      </c>
      <c r="F8">
        <v>180</v>
      </c>
      <c r="G8">
        <v>4</v>
      </c>
      <c r="H8">
        <f t="shared" si="0"/>
        <v>151.66669999999999</v>
      </c>
      <c r="I8">
        <f t="shared" si="1"/>
        <v>8.5312999999999999</v>
      </c>
      <c r="J8">
        <f>ROUND(Table22[[#This Row],[BALLS]]/(Table22[[#This Row],[SIXES]]+Table22[[#This Row],[FOURS]]),4)</f>
        <v>4.5</v>
      </c>
      <c r="K8">
        <v>25</v>
      </c>
      <c r="L8">
        <v>15</v>
      </c>
      <c r="M8">
        <v>0</v>
      </c>
      <c r="N8" s="8" t="s">
        <v>54</v>
      </c>
    </row>
    <row r="9" spans="1:15" ht="15.6" x14ac:dyDescent="0.3">
      <c r="A9" s="9">
        <v>8</v>
      </c>
      <c r="B9" s="5" t="s">
        <v>10</v>
      </c>
      <c r="C9">
        <v>41</v>
      </c>
      <c r="D9">
        <v>29</v>
      </c>
      <c r="E9" s="4">
        <v>269</v>
      </c>
      <c r="F9">
        <v>176</v>
      </c>
      <c r="G9">
        <v>7</v>
      </c>
      <c r="H9">
        <f t="shared" si="0"/>
        <v>152.8409</v>
      </c>
      <c r="I9">
        <f t="shared" si="1"/>
        <v>12.2273</v>
      </c>
      <c r="J9">
        <f>ROUND(Table22[[#This Row],[BALLS]]/(Table22[[#This Row],[SIXES]]+Table22[[#This Row],[FOURS]]),4)</f>
        <v>4.093</v>
      </c>
      <c r="K9">
        <v>18</v>
      </c>
      <c r="L9">
        <v>25</v>
      </c>
      <c r="M9">
        <v>0</v>
      </c>
      <c r="N9" s="8" t="s">
        <v>48</v>
      </c>
    </row>
    <row r="10" spans="1:15" ht="15.6" x14ac:dyDescent="0.3">
      <c r="A10" s="7">
        <v>9</v>
      </c>
      <c r="B10" s="5" t="s">
        <v>8</v>
      </c>
      <c r="C10">
        <v>93</v>
      </c>
      <c r="D10">
        <v>47</v>
      </c>
      <c r="E10" s="4">
        <v>263</v>
      </c>
      <c r="F10">
        <v>249</v>
      </c>
      <c r="G10">
        <v>16</v>
      </c>
      <c r="H10">
        <f t="shared" si="0"/>
        <v>105.6225</v>
      </c>
      <c r="I10">
        <f t="shared" si="1"/>
        <v>8.4839000000000002</v>
      </c>
      <c r="J10">
        <f>ROUND(Table22[[#This Row],[BALLS]]/(Table22[[#This Row],[SIXES]]+Table22[[#This Row],[FOURS]]),4)</f>
        <v>6.9166999999999996</v>
      </c>
      <c r="K10">
        <v>10</v>
      </c>
      <c r="L10">
        <v>26</v>
      </c>
      <c r="M10">
        <v>0</v>
      </c>
      <c r="N10" s="8" t="s">
        <v>64</v>
      </c>
      <c r="O10" t="s">
        <v>111</v>
      </c>
    </row>
    <row r="11" spans="1:15" ht="15.6" x14ac:dyDescent="0.3">
      <c r="A11" s="9">
        <v>10</v>
      </c>
      <c r="B11" s="5" t="s">
        <v>15</v>
      </c>
      <c r="C11">
        <v>42</v>
      </c>
      <c r="D11">
        <v>29</v>
      </c>
      <c r="E11" s="4">
        <v>221</v>
      </c>
      <c r="F11">
        <v>202</v>
      </c>
      <c r="G11">
        <v>13</v>
      </c>
      <c r="H11">
        <f t="shared" si="0"/>
        <v>109.4059</v>
      </c>
      <c r="I11">
        <f t="shared" si="1"/>
        <v>13.8125</v>
      </c>
      <c r="J11">
        <f>ROUND(Table22[[#This Row],[BALLS]]/(Table22[[#This Row],[SIXES]]+Table22[[#This Row],[FOURS]]),4)</f>
        <v>6.9654999999999996</v>
      </c>
      <c r="K11">
        <v>6</v>
      </c>
      <c r="L11">
        <v>23</v>
      </c>
      <c r="M11">
        <v>0</v>
      </c>
      <c r="N11" s="8" t="s">
        <v>73</v>
      </c>
    </row>
    <row r="12" spans="1:15" ht="15.6" x14ac:dyDescent="0.3">
      <c r="A12" s="7">
        <v>11</v>
      </c>
      <c r="B12" s="5" t="s">
        <v>47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 t="shared" si="0"/>
        <v>129.87799999999999</v>
      </c>
      <c r="I12">
        <f t="shared" si="1"/>
        <v>12.529400000000001</v>
      </c>
      <c r="J12">
        <f>ROUND(Table22[[#This Row],[BALLS]]/(Table22[[#This Row],[SIXES]]+Table22[[#This Row],[FOURS]]),4)</f>
        <v>5.6551999999999998</v>
      </c>
      <c r="K12">
        <v>12</v>
      </c>
      <c r="L12">
        <v>17</v>
      </c>
      <c r="M12">
        <v>0</v>
      </c>
      <c r="N12" s="8" t="s">
        <v>52</v>
      </c>
    </row>
    <row r="13" spans="1:15" ht="15.6" x14ac:dyDescent="0.3">
      <c r="A13" s="9">
        <v>12</v>
      </c>
      <c r="B13" s="5" t="s">
        <v>20</v>
      </c>
      <c r="C13">
        <v>53</v>
      </c>
      <c r="D13">
        <v>22</v>
      </c>
      <c r="E13" s="4">
        <v>104</v>
      </c>
      <c r="F13">
        <v>99</v>
      </c>
      <c r="G13">
        <v>8</v>
      </c>
      <c r="H13">
        <f t="shared" si="0"/>
        <v>105.0505</v>
      </c>
      <c r="I13">
        <f t="shared" si="1"/>
        <v>7.4286000000000003</v>
      </c>
      <c r="J13">
        <f>ROUND(Table22[[#This Row],[BALLS]]/(Table22[[#This Row],[SIXES]]+Table22[[#This Row],[FOURS]]),4)</f>
        <v>9</v>
      </c>
      <c r="K13">
        <v>0</v>
      </c>
      <c r="L13">
        <v>11</v>
      </c>
      <c r="M13">
        <v>0</v>
      </c>
      <c r="N13" s="8" t="s">
        <v>66</v>
      </c>
      <c r="O13" t="s">
        <v>111</v>
      </c>
    </row>
    <row r="14" spans="1:15" ht="15.6" x14ac:dyDescent="0.3">
      <c r="A14" s="7">
        <v>13</v>
      </c>
      <c r="B14" s="5" t="s">
        <v>21</v>
      </c>
      <c r="C14">
        <v>40</v>
      </c>
      <c r="D14">
        <v>18</v>
      </c>
      <c r="E14" s="4">
        <v>90</v>
      </c>
      <c r="F14">
        <v>87</v>
      </c>
      <c r="G14">
        <v>8</v>
      </c>
      <c r="H14">
        <f t="shared" si="0"/>
        <v>103.4483</v>
      </c>
      <c r="I14">
        <f t="shared" si="1"/>
        <v>9</v>
      </c>
      <c r="J14">
        <f>ROUND(Table22[[#This Row],[BALLS]]/(Table22[[#This Row],[SIXES]]+Table22[[#This Row],[FOURS]]),4)</f>
        <v>8.6999999999999993</v>
      </c>
      <c r="K14">
        <v>1</v>
      </c>
      <c r="L14">
        <v>9</v>
      </c>
      <c r="M14">
        <v>0</v>
      </c>
      <c r="N14" s="8" t="s">
        <v>83</v>
      </c>
    </row>
    <row r="15" spans="1:15" ht="15.6" x14ac:dyDescent="0.3">
      <c r="A15" s="9">
        <v>14</v>
      </c>
      <c r="B15" s="5" t="s">
        <v>63</v>
      </c>
      <c r="C15">
        <v>24</v>
      </c>
      <c r="D15">
        <v>17</v>
      </c>
      <c r="E15" s="4">
        <v>84</v>
      </c>
      <c r="F15">
        <v>70</v>
      </c>
      <c r="G15">
        <v>3</v>
      </c>
      <c r="H15">
        <f t="shared" si="0"/>
        <v>120</v>
      </c>
      <c r="I15">
        <f t="shared" si="1"/>
        <v>6</v>
      </c>
      <c r="J15">
        <f>ROUND(Table22[[#This Row],[BALLS]]/(Table22[[#This Row],[SIXES]]+Table22[[#This Row],[FOURS]]),4)</f>
        <v>7</v>
      </c>
      <c r="K15">
        <v>5</v>
      </c>
      <c r="L15">
        <v>5</v>
      </c>
      <c r="M15">
        <v>0</v>
      </c>
      <c r="N15" s="8" t="s">
        <v>82</v>
      </c>
    </row>
    <row r="16" spans="1:15" ht="15.6" x14ac:dyDescent="0.3">
      <c r="A16" s="7">
        <v>15</v>
      </c>
      <c r="B16" s="5" t="s">
        <v>18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 t="shared" si="0"/>
        <v>79.710099999999997</v>
      </c>
      <c r="I16">
        <f t="shared" si="1"/>
        <v>3.0556000000000001</v>
      </c>
      <c r="J16">
        <f>ROUND(Table22[[#This Row],[BALLS]]/(Table22[[#This Row],[SIXES]]+Table22[[#This Row],[FOURS]]),4)</f>
        <v>13.8</v>
      </c>
      <c r="K16">
        <v>0</v>
      </c>
      <c r="L16">
        <v>5</v>
      </c>
      <c r="M16">
        <v>0</v>
      </c>
      <c r="N16" s="8" t="s">
        <v>75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ROUND(Table22[[#This Row],[BALLS]]/(Table22[[#This Row],[SIXES]]+Table22[[#This Row],[FOURS]]),4)</f>
        <v>5.7</v>
      </c>
      <c r="K17">
        <v>2</v>
      </c>
      <c r="L17">
        <v>8</v>
      </c>
      <c r="M17">
        <v>0</v>
      </c>
      <c r="N17" s="8" t="s">
        <v>50</v>
      </c>
    </row>
    <row r="18" spans="1:14" ht="15.6" x14ac:dyDescent="0.3">
      <c r="A18" s="7">
        <v>17</v>
      </c>
      <c r="B18" s="5" t="s">
        <v>19</v>
      </c>
      <c r="C18">
        <v>28</v>
      </c>
      <c r="D18">
        <v>14</v>
      </c>
      <c r="E18" s="4">
        <v>45</v>
      </c>
      <c r="F18">
        <v>51</v>
      </c>
      <c r="G18">
        <v>4</v>
      </c>
      <c r="H18">
        <f t="shared" si="0"/>
        <v>88.235299999999995</v>
      </c>
      <c r="I18">
        <f t="shared" si="1"/>
        <v>4.5</v>
      </c>
      <c r="J18">
        <f>ROUND(Table22[[#This Row],[BALLS]]/(Table22[[#This Row],[SIXES]]+Table22[[#This Row],[FOURS]]),4)</f>
        <v>8.5</v>
      </c>
      <c r="K18">
        <v>1</v>
      </c>
      <c r="L18">
        <v>5</v>
      </c>
      <c r="M18">
        <v>0</v>
      </c>
      <c r="N18" s="8" t="s">
        <v>76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 t="shared" si="0"/>
        <v>95</v>
      </c>
      <c r="I19">
        <f t="shared" si="1"/>
        <v>19</v>
      </c>
      <c r="J19">
        <f>ROUND(Table22[[#This Row],[BALLS]]/(Table22[[#This Row],[SIXES]]+Table22[[#This Row],[FOURS]]),4)</f>
        <v>10</v>
      </c>
      <c r="K19">
        <v>1</v>
      </c>
      <c r="L19">
        <v>3</v>
      </c>
      <c r="M19">
        <v>0</v>
      </c>
      <c r="N19" s="8" t="s">
        <v>58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 t="shared" si="0"/>
        <v>81.818200000000004</v>
      </c>
      <c r="I20">
        <f t="shared" si="1"/>
        <v>5.1429</v>
      </c>
      <c r="J20">
        <f>ROUND(Table22[[#This Row],[BALLS]]/(Table22[[#This Row],[SIXES]]+Table22[[#This Row],[FOURS]]),4)</f>
        <v>22</v>
      </c>
      <c r="K20">
        <v>0</v>
      </c>
      <c r="L20">
        <v>2</v>
      </c>
      <c r="M20">
        <v>0</v>
      </c>
      <c r="N20" s="8" t="s">
        <v>70</v>
      </c>
    </row>
    <row r="21" spans="1:14" ht="15.6" x14ac:dyDescent="0.3">
      <c r="A21" s="9">
        <v>20</v>
      </c>
      <c r="B21" s="5" t="s">
        <v>23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 t="shared" si="0"/>
        <v>68.181799999999996</v>
      </c>
      <c r="I21">
        <f t="shared" si="1"/>
        <v>5</v>
      </c>
      <c r="J21">
        <f>ROUND(Table22[[#This Row],[BALLS]]/(Table22[[#This Row],[SIXES]]+Table22[[#This Row],[FOURS]]),4)</f>
        <v>44</v>
      </c>
      <c r="K21">
        <v>0</v>
      </c>
      <c r="L21">
        <v>1</v>
      </c>
      <c r="M21">
        <v>0</v>
      </c>
      <c r="N21" s="8" t="s">
        <v>72</v>
      </c>
    </row>
    <row r="22" spans="1:14" ht="15.6" x14ac:dyDescent="0.3">
      <c r="A22" s="7">
        <v>21</v>
      </c>
      <c r="B22" s="5" t="s">
        <v>55</v>
      </c>
      <c r="C22">
        <v>13</v>
      </c>
      <c r="D22">
        <v>9</v>
      </c>
      <c r="E22" s="4">
        <v>27</v>
      </c>
      <c r="F22">
        <v>44</v>
      </c>
      <c r="G22">
        <v>2</v>
      </c>
      <c r="H22">
        <f t="shared" si="0"/>
        <v>61.363599999999998</v>
      </c>
      <c r="I22">
        <f t="shared" si="1"/>
        <v>3.8571</v>
      </c>
      <c r="J22">
        <f>ROUND(Table22[[#This Row],[BALLS]]/(Table22[[#This Row],[SIXES]]+Table22[[#This Row],[FOURS]]),4)</f>
        <v>14.666700000000001</v>
      </c>
      <c r="K22">
        <v>0</v>
      </c>
      <c r="L22">
        <v>3</v>
      </c>
      <c r="M22">
        <v>0</v>
      </c>
      <c r="N22" s="8" t="s">
        <v>104</v>
      </c>
    </row>
    <row r="23" spans="1:14" ht="15.6" x14ac:dyDescent="0.3">
      <c r="A23" s="9">
        <v>22</v>
      </c>
      <c r="B23" s="5" t="s">
        <v>56</v>
      </c>
      <c r="C23">
        <v>5</v>
      </c>
      <c r="D23">
        <v>2</v>
      </c>
      <c r="E23" s="4">
        <v>17</v>
      </c>
      <c r="F23">
        <v>14</v>
      </c>
      <c r="G23">
        <v>0</v>
      </c>
      <c r="H23">
        <f t="shared" si="0"/>
        <v>121.4286</v>
      </c>
      <c r="I23">
        <f t="shared" si="1"/>
        <v>8.5</v>
      </c>
      <c r="J23">
        <f>ROUND(Table22[[#This Row],[BALLS]]/(Table22[[#This Row],[SIXES]]+Table22[[#This Row],[FOURS]]),4)</f>
        <v>4.6666999999999996</v>
      </c>
      <c r="K23">
        <v>0</v>
      </c>
      <c r="L23">
        <v>3</v>
      </c>
      <c r="M23">
        <v>0</v>
      </c>
      <c r="N23" s="8" t="s">
        <v>57</v>
      </c>
    </row>
    <row r="24" spans="1:14" ht="15.6" x14ac:dyDescent="0.3">
      <c r="A24" s="7">
        <v>23</v>
      </c>
      <c r="B24" s="5" t="s">
        <v>17</v>
      </c>
      <c r="C24">
        <v>8</v>
      </c>
      <c r="D24">
        <v>5</v>
      </c>
      <c r="E24" s="4">
        <v>16</v>
      </c>
      <c r="F24">
        <v>22</v>
      </c>
      <c r="G24">
        <v>2</v>
      </c>
      <c r="H24">
        <f t="shared" si="0"/>
        <v>72.7273</v>
      </c>
      <c r="I24">
        <f t="shared" si="1"/>
        <v>5.3333000000000004</v>
      </c>
      <c r="J24">
        <f>ROUND(Table22[[#This Row],[BALLS]]/(Table22[[#This Row],[SIXES]]+Table22[[#This Row],[FOURS]]),4)</f>
        <v>22</v>
      </c>
      <c r="K24">
        <v>0</v>
      </c>
      <c r="L24">
        <v>1</v>
      </c>
      <c r="M24">
        <v>0</v>
      </c>
      <c r="N24" s="8" t="s">
        <v>46</v>
      </c>
    </row>
    <row r="25" spans="1:14" ht="15.6" x14ac:dyDescent="0.3">
      <c r="A25" s="9">
        <v>24</v>
      </c>
      <c r="B25" s="5" t="s">
        <v>65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ROUND(Table22[[#This Row],[BALLS]]/(Table22[[#This Row],[SIXES]]+Table22[[#This Row],[FOURS]]),4)</f>
        <v>9</v>
      </c>
      <c r="K25">
        <v>1</v>
      </c>
      <c r="L25">
        <v>0</v>
      </c>
      <c r="M25">
        <v>0</v>
      </c>
      <c r="N25" s="8" t="s">
        <v>60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 t="shared" si="0"/>
        <v>56.25</v>
      </c>
      <c r="I26">
        <f t="shared" si="1"/>
        <v>4.5</v>
      </c>
      <c r="J26">
        <f>ROUND(Table22[[#This Row],[BALLS]]/(Table22[[#This Row],[SIXES]]+Table22[[#This Row],[FOURS]]),4)</f>
        <v>16</v>
      </c>
      <c r="K26">
        <v>0</v>
      </c>
      <c r="L26">
        <v>1</v>
      </c>
      <c r="M26">
        <v>0</v>
      </c>
      <c r="N26" s="8" t="s">
        <v>71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 t="shared" si="0"/>
        <v>72.7273</v>
      </c>
      <c r="I27">
        <f t="shared" si="1"/>
        <v>4</v>
      </c>
      <c r="J27">
        <f>ROUND(Table22[[#This Row],[BALLS]]/(Table22[[#This Row],[SIXES]]+Table22[[#This Row],[FOURS]]),4)</f>
        <v>11</v>
      </c>
      <c r="K27">
        <v>0</v>
      </c>
      <c r="L27">
        <v>1</v>
      </c>
      <c r="M27">
        <v>0</v>
      </c>
      <c r="N27" s="8" t="s">
        <v>51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59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H21" sqref="H21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101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  <c r="M1" s="2" t="s">
        <v>107</v>
      </c>
    </row>
    <row r="2" spans="1:13" ht="15.6" x14ac:dyDescent="0.3">
      <c r="A2" s="7">
        <v>1</v>
      </c>
      <c r="B2" s="5" t="s">
        <v>8</v>
      </c>
      <c r="C2">
        <v>93</v>
      </c>
      <c r="D2">
        <v>144</v>
      </c>
      <c r="E2" s="11">
        <v>101</v>
      </c>
      <c r="F2">
        <v>1434</v>
      </c>
      <c r="G2">
        <f t="shared" ref="G2:G16" si="0">ROUND(F2*6 / (INT(D2)*6 + MOD(D2,1)*10),4)</f>
        <v>9.9582999999999995</v>
      </c>
      <c r="H2">
        <f t="shared" ref="H2:H14" si="1">ROUND(F2/E2,4)</f>
        <v>14.198</v>
      </c>
      <c r="I2">
        <f t="shared" ref="I2:I14" si="2">ROUND(IF(E2=0,"-", (INT(D2)*6 + MOD(D2,1)*10) / E2),4)</f>
        <v>8.5545000000000009</v>
      </c>
      <c r="J2">
        <v>10</v>
      </c>
      <c r="K2">
        <v>2</v>
      </c>
      <c r="L2" t="s">
        <v>43</v>
      </c>
    </row>
    <row r="3" spans="1:13" ht="15.6" x14ac:dyDescent="0.3">
      <c r="A3">
        <v>2</v>
      </c>
      <c r="B3" s="5" t="s">
        <v>12</v>
      </c>
      <c r="C3">
        <v>73</v>
      </c>
      <c r="D3">
        <v>129.4</v>
      </c>
      <c r="E3" s="4">
        <v>80</v>
      </c>
      <c r="F3">
        <v>1420</v>
      </c>
      <c r="G3">
        <f t="shared" si="0"/>
        <v>10.9512</v>
      </c>
      <c r="H3">
        <f>ROUND(F3/E3,4)</f>
        <v>17.75</v>
      </c>
      <c r="I3">
        <f t="shared" si="2"/>
        <v>9.7249999999999996</v>
      </c>
      <c r="J3">
        <v>9</v>
      </c>
      <c r="K3">
        <v>1</v>
      </c>
      <c r="L3" t="s">
        <v>112</v>
      </c>
      <c r="M3" t="s">
        <v>112</v>
      </c>
    </row>
    <row r="4" spans="1:13" ht="15.6" x14ac:dyDescent="0.3">
      <c r="A4" s="7">
        <v>3</v>
      </c>
      <c r="B4" s="5" t="s">
        <v>36</v>
      </c>
      <c r="C4">
        <v>59</v>
      </c>
      <c r="D4">
        <v>104.5</v>
      </c>
      <c r="E4" s="4">
        <v>73</v>
      </c>
      <c r="F4">
        <v>1091</v>
      </c>
      <c r="G4">
        <f t="shared" si="0"/>
        <v>10.407</v>
      </c>
      <c r="H4">
        <f t="shared" si="1"/>
        <v>14.9452</v>
      </c>
      <c r="I4">
        <f t="shared" si="2"/>
        <v>8.6164000000000005</v>
      </c>
      <c r="J4">
        <v>5</v>
      </c>
      <c r="K4">
        <v>0</v>
      </c>
      <c r="L4" t="s">
        <v>78</v>
      </c>
      <c r="M4" t="s">
        <v>113</v>
      </c>
    </row>
    <row r="5" spans="1:13" ht="15.6" x14ac:dyDescent="0.3">
      <c r="A5">
        <v>4</v>
      </c>
      <c r="B5" s="5" t="s">
        <v>14</v>
      </c>
      <c r="C5">
        <v>49</v>
      </c>
      <c r="D5">
        <v>80</v>
      </c>
      <c r="E5" s="4">
        <v>53</v>
      </c>
      <c r="F5">
        <v>822</v>
      </c>
      <c r="G5">
        <f t="shared" si="0"/>
        <v>10.275</v>
      </c>
      <c r="H5">
        <f t="shared" si="1"/>
        <v>15.509399999999999</v>
      </c>
      <c r="I5">
        <f t="shared" si="2"/>
        <v>9.0565999999999995</v>
      </c>
      <c r="J5">
        <v>8</v>
      </c>
      <c r="K5">
        <v>0</v>
      </c>
      <c r="L5" t="s">
        <v>69</v>
      </c>
    </row>
    <row r="6" spans="1:13" ht="15.6" x14ac:dyDescent="0.3">
      <c r="A6" s="7">
        <v>5</v>
      </c>
      <c r="B6" s="5" t="s">
        <v>9</v>
      </c>
      <c r="C6">
        <v>74</v>
      </c>
      <c r="D6">
        <v>73.3</v>
      </c>
      <c r="E6" s="4">
        <v>51</v>
      </c>
      <c r="F6">
        <v>767</v>
      </c>
      <c r="G6">
        <f t="shared" si="0"/>
        <v>10.4354</v>
      </c>
      <c r="H6">
        <f t="shared" si="1"/>
        <v>15.039199999999999</v>
      </c>
      <c r="I6">
        <f t="shared" si="2"/>
        <v>8.6471</v>
      </c>
      <c r="J6">
        <v>5</v>
      </c>
      <c r="K6">
        <v>0</v>
      </c>
      <c r="L6" t="s">
        <v>77</v>
      </c>
      <c r="M6" t="s">
        <v>114</v>
      </c>
    </row>
    <row r="7" spans="1:13" ht="15.6" x14ac:dyDescent="0.3">
      <c r="A7">
        <v>6</v>
      </c>
      <c r="B7" s="5" t="s">
        <v>20</v>
      </c>
      <c r="C7">
        <v>53</v>
      </c>
      <c r="D7">
        <v>48.2</v>
      </c>
      <c r="E7" s="4">
        <v>27</v>
      </c>
      <c r="F7">
        <v>445</v>
      </c>
      <c r="G7">
        <f t="shared" si="0"/>
        <v>9.2068999999999992</v>
      </c>
      <c r="H7">
        <f t="shared" si="1"/>
        <v>16.4815</v>
      </c>
      <c r="I7">
        <f t="shared" si="2"/>
        <v>10.7407</v>
      </c>
      <c r="J7">
        <v>2</v>
      </c>
      <c r="K7">
        <v>0</v>
      </c>
      <c r="L7" t="s">
        <v>62</v>
      </c>
      <c r="M7" t="s">
        <v>115</v>
      </c>
    </row>
    <row r="8" spans="1:13" ht="15.6" x14ac:dyDescent="0.3">
      <c r="A8" s="7">
        <v>7</v>
      </c>
      <c r="B8" s="5" t="s">
        <v>21</v>
      </c>
      <c r="C8">
        <v>40</v>
      </c>
      <c r="D8">
        <v>33.5</v>
      </c>
      <c r="E8" s="4">
        <v>25</v>
      </c>
      <c r="F8">
        <v>316</v>
      </c>
      <c r="G8">
        <f t="shared" si="0"/>
        <v>9.3399000000000001</v>
      </c>
      <c r="H8">
        <f t="shared" si="1"/>
        <v>12.64</v>
      </c>
      <c r="I8">
        <f t="shared" si="2"/>
        <v>8.1199999999999992</v>
      </c>
      <c r="J8">
        <v>3</v>
      </c>
      <c r="K8">
        <v>0</v>
      </c>
      <c r="L8" t="s">
        <v>44</v>
      </c>
    </row>
    <row r="9" spans="1:13" ht="15.6" x14ac:dyDescent="0.3">
      <c r="A9">
        <v>8</v>
      </c>
      <c r="B9" s="5" t="s">
        <v>18</v>
      </c>
      <c r="C9">
        <v>29</v>
      </c>
      <c r="D9">
        <v>38</v>
      </c>
      <c r="E9" s="4">
        <v>25</v>
      </c>
      <c r="F9">
        <v>367</v>
      </c>
      <c r="G9">
        <f t="shared" si="0"/>
        <v>9.6578999999999997</v>
      </c>
      <c r="H9">
        <f t="shared" si="1"/>
        <v>14.68</v>
      </c>
      <c r="I9">
        <f t="shared" si="2"/>
        <v>9.1199999999999992</v>
      </c>
      <c r="J9">
        <v>2</v>
      </c>
      <c r="K9">
        <v>0</v>
      </c>
      <c r="L9" t="s">
        <v>41</v>
      </c>
    </row>
    <row r="10" spans="1:13" ht="15.6" x14ac:dyDescent="0.3">
      <c r="A10" s="7">
        <v>9</v>
      </c>
      <c r="B10" s="5" t="s">
        <v>63</v>
      </c>
      <c r="C10">
        <v>24</v>
      </c>
      <c r="D10">
        <v>30.3</v>
      </c>
      <c r="E10" s="4">
        <v>20</v>
      </c>
      <c r="F10">
        <v>261</v>
      </c>
      <c r="G10">
        <f t="shared" si="0"/>
        <v>8.5573999999999995</v>
      </c>
      <c r="H10">
        <f t="shared" si="1"/>
        <v>13.05</v>
      </c>
      <c r="I10">
        <f t="shared" si="2"/>
        <v>9.15</v>
      </c>
      <c r="J10">
        <v>2</v>
      </c>
      <c r="K10">
        <v>0</v>
      </c>
      <c r="L10" t="s">
        <v>79</v>
      </c>
    </row>
    <row r="11" spans="1:13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40</v>
      </c>
    </row>
    <row r="12" spans="1:13" ht="15.6" x14ac:dyDescent="0.3">
      <c r="A12" s="7">
        <v>11</v>
      </c>
      <c r="B12" s="5" t="s">
        <v>10</v>
      </c>
      <c r="C12">
        <v>41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74</v>
      </c>
    </row>
    <row r="13" spans="1:13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3" ht="15.6" x14ac:dyDescent="0.3">
      <c r="A14" s="7">
        <v>13</v>
      </c>
      <c r="B14" s="5" t="s">
        <v>11</v>
      </c>
      <c r="C14">
        <v>65</v>
      </c>
      <c r="D14">
        <v>1.3</v>
      </c>
      <c r="E14" s="4">
        <v>1</v>
      </c>
      <c r="F14">
        <v>8</v>
      </c>
      <c r="G14">
        <f t="shared" si="0"/>
        <v>5.3333000000000004</v>
      </c>
      <c r="H14">
        <f t="shared" si="1"/>
        <v>8</v>
      </c>
      <c r="I14">
        <f t="shared" si="2"/>
        <v>9</v>
      </c>
      <c r="J14">
        <v>0</v>
      </c>
      <c r="K14">
        <v>0</v>
      </c>
      <c r="L14" t="s">
        <v>80</v>
      </c>
    </row>
    <row r="15" spans="1:13" ht="15.6" x14ac:dyDescent="0.3">
      <c r="A15" s="9">
        <v>14</v>
      </c>
      <c r="B15" s="5" t="s">
        <v>13</v>
      </c>
      <c r="C15">
        <v>43</v>
      </c>
      <c r="D15">
        <v>2</v>
      </c>
      <c r="E15" s="4">
        <v>0</v>
      </c>
      <c r="F15">
        <v>23</v>
      </c>
      <c r="G15">
        <f t="shared" si="0"/>
        <v>11.5</v>
      </c>
      <c r="H15" t="s">
        <v>81</v>
      </c>
      <c r="I15" t="s">
        <v>81</v>
      </c>
      <c r="J15">
        <v>0</v>
      </c>
      <c r="K15">
        <v>0</v>
      </c>
      <c r="L15" t="s">
        <v>39</v>
      </c>
    </row>
    <row r="16" spans="1:13" ht="15.6" x14ac:dyDescent="0.3">
      <c r="A16" s="7">
        <v>15</v>
      </c>
      <c r="B16" s="5" t="s">
        <v>23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81</v>
      </c>
      <c r="I16" t="s">
        <v>81</v>
      </c>
      <c r="J16">
        <v>0</v>
      </c>
      <c r="K16">
        <v>0</v>
      </c>
      <c r="L16" t="s">
        <v>105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87</v>
      </c>
      <c r="B1" t="s">
        <v>86</v>
      </c>
      <c r="C1" t="s">
        <v>88</v>
      </c>
      <c r="D1" t="s">
        <v>89</v>
      </c>
      <c r="H1" t="s">
        <v>86</v>
      </c>
      <c r="K1" t="s">
        <v>89</v>
      </c>
      <c r="N1" t="s">
        <v>88</v>
      </c>
    </row>
    <row r="2" spans="1:15" x14ac:dyDescent="0.3">
      <c r="A2" t="s">
        <v>92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94</v>
      </c>
      <c r="I2" s="10">
        <v>46033</v>
      </c>
      <c r="K2" s="10" t="s">
        <v>96</v>
      </c>
      <c r="L2" s="10">
        <v>46143</v>
      </c>
      <c r="N2" t="s">
        <v>99</v>
      </c>
      <c r="O2" s="10">
        <v>46146</v>
      </c>
    </row>
    <row r="3" spans="1:15" x14ac:dyDescent="0.3">
      <c r="A3" t="s">
        <v>84</v>
      </c>
      <c r="B3">
        <v>5</v>
      </c>
      <c r="C3">
        <v>0</v>
      </c>
      <c r="D3">
        <v>1</v>
      </c>
      <c r="H3" t="s">
        <v>93</v>
      </c>
      <c r="I3" s="10">
        <v>46038</v>
      </c>
      <c r="K3" t="s">
        <v>95</v>
      </c>
      <c r="L3" s="10">
        <v>46147</v>
      </c>
    </row>
    <row r="4" spans="1:15" x14ac:dyDescent="0.3">
      <c r="A4" t="s">
        <v>85</v>
      </c>
      <c r="B4">
        <v>3</v>
      </c>
      <c r="C4">
        <v>1</v>
      </c>
      <c r="D4">
        <v>1</v>
      </c>
      <c r="H4" s="10" t="s">
        <v>95</v>
      </c>
      <c r="I4" s="10">
        <v>46042</v>
      </c>
    </row>
    <row r="5" spans="1:15" x14ac:dyDescent="0.3">
      <c r="A5" t="s">
        <v>90</v>
      </c>
      <c r="B5">
        <v>2</v>
      </c>
      <c r="C5">
        <v>0</v>
      </c>
      <c r="D5">
        <v>0</v>
      </c>
      <c r="H5" s="10" t="s">
        <v>96</v>
      </c>
      <c r="I5" s="10">
        <v>46071</v>
      </c>
    </row>
    <row r="6" spans="1:15" x14ac:dyDescent="0.3">
      <c r="H6" s="10" t="s">
        <v>97</v>
      </c>
      <c r="I6" s="10">
        <v>46076</v>
      </c>
    </row>
    <row r="7" spans="1:15" x14ac:dyDescent="0.3">
      <c r="A7" t="s">
        <v>91</v>
      </c>
      <c r="B7" t="s">
        <v>86</v>
      </c>
      <c r="C7" t="s">
        <v>88</v>
      </c>
      <c r="D7" t="s">
        <v>89</v>
      </c>
      <c r="H7" s="10" t="s">
        <v>97</v>
      </c>
      <c r="I7" s="10">
        <v>46080</v>
      </c>
    </row>
    <row r="8" spans="1:15" x14ac:dyDescent="0.3">
      <c r="A8" t="s">
        <v>92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95</v>
      </c>
      <c r="I8" s="10">
        <v>46093</v>
      </c>
    </row>
    <row r="9" spans="1:15" x14ac:dyDescent="0.3">
      <c r="A9" t="s">
        <v>84</v>
      </c>
      <c r="B9">
        <v>16</v>
      </c>
      <c r="C9">
        <v>0</v>
      </c>
      <c r="D9">
        <v>3</v>
      </c>
      <c r="H9" s="10" t="s">
        <v>98</v>
      </c>
      <c r="I9" s="10">
        <v>46118</v>
      </c>
    </row>
    <row r="10" spans="1:15" x14ac:dyDescent="0.3">
      <c r="A10" t="s">
        <v>85</v>
      </c>
      <c r="B10">
        <v>12</v>
      </c>
      <c r="C10">
        <v>2</v>
      </c>
      <c r="D10">
        <v>3</v>
      </c>
      <c r="H10" s="10" t="s">
        <v>98</v>
      </c>
      <c r="I10" s="10">
        <v>46129</v>
      </c>
    </row>
    <row r="11" spans="1:15" x14ac:dyDescent="0.3">
      <c r="A11" t="s">
        <v>90</v>
      </c>
      <c r="B11">
        <v>0</v>
      </c>
      <c r="C11">
        <v>0</v>
      </c>
      <c r="D11">
        <v>0</v>
      </c>
      <c r="H11" s="10" t="s">
        <v>96</v>
      </c>
      <c r="I11" s="10">
        <v>46187</v>
      </c>
    </row>
    <row r="12" spans="1:15" x14ac:dyDescent="0.3">
      <c r="H12" s="10" t="s">
        <v>97</v>
      </c>
      <c r="I12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2026-08-30T17:09:43Z</dcterms:modified>
</cp:coreProperties>
</file>