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5FAFF8E2-C0BD-4CA9-9BB7-56DE4F845BAC}" xr6:coauthVersionLast="47" xr6:coauthVersionMax="47" xr10:uidLastSave="{00000000-0000-0000-0000-000000000000}"/>
  <bookViews>
    <workbookView xWindow="-108" yWindow="-108" windowWidth="23256" windowHeight="13176" activeTab="1" xr2:uid="{49A19E03-9679-4684-9B3B-B42A2982796E}"/>
  </bookViews>
  <sheets>
    <sheet name="BATTING" sheetId="1" r:id="rId1"/>
    <sheet name="BOW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H28" i="1" l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I15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</calcChain>
</file>

<file path=xl/sharedStrings.xml><?xml version="1.0" encoding="utf-8"?>
<sst xmlns="http://schemas.openxmlformats.org/spreadsheetml/2006/main" count="110" uniqueCount="90">
  <si>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</si>
  <si>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</si>
  <si>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</si>
  <si>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</si>
  <si>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</si>
  <si>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</si>
  <si>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</si>
  <si>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</si>
  <si>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</si>
  <si>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</si>
  <si>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</si>
  <si>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</si>
  <si>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</si>
  <si>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</si>
  <si>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</si>
  <si>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</si>
  <si>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</si>
  <si>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</si>
  <si>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</si>
  <si>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</si>
  <si>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</si>
  <si>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</si>
  <si>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</si>
  <si>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</si>
  <si>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</si>
  <si>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</si>
  <si>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</si>
  <si>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</si>
  <si>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</si>
  <si>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</si>
  <si>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</si>
  <si>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</si>
  <si>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</si>
  <si>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</si>
  <si>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</si>
  <si>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</si>
  <si>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</si>
  <si>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</si>
  <si>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</si>
  <si>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</si>
  <si>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</si>
  <si>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</si>
  <si>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</si>
  <si>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</si>
  <si>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</si>
  <si>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</si>
  <si>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</si>
  <si>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</si>
  <si>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</si>
  <si>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</si>
  <si>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</si>
  <si>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</si>
  <si>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</si>
  <si>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</si>
  <si>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</si>
  <si>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</si>
  <si>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</si>
  <si>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</si>
  <si>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</si>
  <si>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</si>
  <si>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</si>
  <si>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</si>
  <si>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</si>
  <si>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</si>
  <si>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</si>
  <si>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72(25)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</si>
  <si>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</si>
  <si>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</si>
  <si>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</si>
  <si>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</si>
  <si>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</si>
  <si>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</si>
  <si>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</si>
  <si>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</si>
  <si>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</si>
  <si>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</si>
  <si>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</si>
  <si>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</si>
  <si>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</si>
  <si>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</si>
  <si>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</si>
  <si>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</si>
  <si>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</si>
  <si>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</si>
  <si>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</si>
  <si>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RANK</t>
  </si>
  <si>
    <t>0.3-0-0-1</t>
  </si>
  <si>
    <t>-</t>
  </si>
  <si>
    <t>25(10)</t>
  </si>
  <si>
    <t>17(9)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</si>
</sst>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</cellXfs>
  <cellStyles count="1">
    <cellStyle name="Normal" xfId="0" builtinId="0"/>
  </cellStyles>
  <dxfs count="18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numFmt numFmtId="164" formatCode="0.0000"/>
    </dxf>
    <dxf>
      <numFmt numFmtId="164" formatCode="0.0000"/>
    </dxf>
    <dxf>
      <numFmt numFmtId="164" formatCode="0.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164" formatCode="0.0000"/>
    </dxf>
    <dxf>
      <numFmt numFmtId="164" formatCode="0.0000"/>
    </dxf>
    <dxf>
      <numFmt numFmtId="164" formatCode="0.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BE6964-BD1D-4237-A8DF-EF8ED338E98A}" name="Table2" displayName="Table2" ref="B1:N28" totalsRowShown="0" headerRowDxfId="10">
  <autoFilter ref="B1:N28" xr:uid="{7BBE6964-BD1D-4237-A8DF-EF8ED338E98A}"/>
  <sortState xmlns:xlrd2="http://schemas.microsoft.com/office/spreadsheetml/2017/richdata2" ref="B2:N28">
    <sortCondition descending="1" ref="E1:E28"/>
  </sortState>
  <tableColumns count="13">
    <tableColumn id="1" xr3:uid="{E7944DB0-6A7F-42AE-8059-ECF3D263A4D7}" name="BATSMAN" dataDxfId="2" totalsRowDxfId="9"/>
    <tableColumn id="2" xr3:uid="{80748AF9-E334-4123-89FF-4BC587690FE6}" name="MATCHES"/>
    <tableColumn id="3" xr3:uid="{569C1087-46BE-49F5-9386-B1AC49620653}" name="INNINGS"/>
    <tableColumn id="4" xr3:uid="{243E0563-7066-4B0D-8875-3C822D7A6ABC}" name="RUNS" dataDxfId="1" totalsRowDxfId="8"/>
    <tableColumn id="5" xr3:uid="{6E0A28CA-3C6E-4D65-B94D-17D5EEF6C90F}" name="BALLS"/>
    <tableColumn id="6" xr3:uid="{532CDF61-F673-4D75-AB97-B40B7FC39E60}" name="NOT OUTS"/>
    <tableColumn id="7" xr3:uid="{5B901B53-6E69-48F5-BB71-65021AACFF8B}" name="STRIKERATE" dataDxfId="7">
      <calculatedColumnFormula>(E2*100)/F2</calculatedColumnFormula>
    </tableColumn>
    <tableColumn id="8" xr3:uid="{5F02881E-B2E7-4759-8D2E-C1EF3BA1E1F3}" name="AVERAGE" dataDxfId="6"/>
    <tableColumn id="13" xr3:uid="{BCA71AD4-54A7-443B-A838-54034AD54467}" name="Balls/bdry" dataDxfId="5">
      <calculatedColumnFormula>Table2[[#This Row],[BALLS]]/(Table2[[#This Row],[SIXES]]+Table2[[#This Row],[FOURS]])</calculatedColumnFormula>
    </tableColumn>
    <tableColumn id="9" xr3:uid="{0A4AE5FF-42D9-4E97-9CDC-67C1D9F34AE9}" name="SIXES"/>
    <tableColumn id="10" xr3:uid="{047DBA7D-6CD2-490B-8725-C2F5EC4F6BDE}" name="FOURS"/>
    <tableColumn id="11" xr3:uid="{DB1F6BD9-3C83-4AB7-BDBB-A1F14E02C697}" name="50"/>
    <tableColumn id="12" xr3:uid="{1DDC88F8-2E59-4F78-9C45-88A55B04F5B7}" name="BEST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213E7-163F-4BDF-A3A6-7F45DEBD27FC}" name="Table3" displayName="Table3" ref="B1:L14" totalsRowShown="0" headerRowDxfId="17">
  <autoFilter ref="B1:L14" xr:uid="{BF5213E7-163F-4BDF-A3A6-7F45DEBD27FC}"/>
  <sortState xmlns:xlrd2="http://schemas.microsoft.com/office/spreadsheetml/2017/richdata2" ref="B2:L14">
    <sortCondition descending="1" ref="E1:E14"/>
  </sortState>
  <tableColumns count="11">
    <tableColumn id="1" xr3:uid="{ED02EB8F-2D91-4BA1-B84B-4B7B449813BC}" name="BOWLER" dataDxfId="4" totalsRowDxfId="16"/>
    <tableColumn id="2" xr3:uid="{ED183527-D378-46C8-A162-34448CE167A6}" name="MATCHES"/>
    <tableColumn id="3" xr3:uid="{A53B8CFF-467E-4019-86DE-3327DD567ABC}" name="OVERS"/>
    <tableColumn id="5" xr3:uid="{5F474394-13BD-4ECA-882C-674F9813D9FE}" name="WICKETS" dataDxfId="3" totalsRowDxfId="15"/>
    <tableColumn id="6" xr3:uid="{78732338-1160-422B-8D40-E1F815772DA1}" name="RUNS"/>
    <tableColumn id="7" xr3:uid="{9F0D0498-C0F7-43D2-9135-3EAA10649D67}" name="ECONOMY" dataDxfId="14">
      <calculatedColumnFormula>F2*6 / (INT(D2)*6 + MOD(D2,1)*10)</calculatedColumnFormula>
    </tableColumn>
    <tableColumn id="8" xr3:uid="{B3F0C065-6F2B-4140-A897-DAD553790118}" name="AVERAGE" dataDxfId="13">
      <calculatedColumnFormula>F2/E2</calculatedColumnFormula>
    </tableColumn>
    <tableColumn id="9" xr3:uid="{1F27FD5E-4689-4443-93EE-6E18C4F92100}" name="STRIKE RATE" dataDxfId="12">
      <calculatedColumnFormula>IF(E2=0,"-", (INT(D2)*6 + MOD(D2,1)*10) / E2)</calculatedColumnFormula>
    </tableColumn>
    <tableColumn id="10" xr3:uid="{42AE4F87-E59E-4C64-A0DF-748A126E590A}" name="3-W"/>
    <tableColumn id="11" xr3:uid="{9183351A-B196-41D2-A811-A968A8830BEC}" name="5-W"/>
    <tableColumn id="12" xr3:uid="{082218BF-46DC-4FF2-95FB-2EBDD2DF078A}" name="BEST" totalsRow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zoomScale="90" zoomScaleNormal="90" workbookViewId="0">
      <selection activeCell="H3" sqref="H3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85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73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65</v>
      </c>
      <c r="D2">
        <v>61</v>
      </c>
      <c r="E2" s="4">
        <v>1208</v>
      </c>
      <c r="F2">
        <v>560</v>
      </c>
      <c r="G2">
        <v>5</v>
      </c>
      <c r="H2">
        <f>(E2*100)/F2</f>
        <v>215.71428571428572</v>
      </c>
      <c r="I2">
        <f>E2/(D2-G2)</f>
        <v>21.571428571428573</v>
      </c>
      <c r="J2">
        <f>Table2[[#This Row],[BALLS]]/(Table2[[#This Row],[SIXES]]+Table2[[#This Row],[FOURS]])</f>
        <v>2.8</v>
      </c>
      <c r="K2">
        <v>123</v>
      </c>
      <c r="L2">
        <v>77</v>
      </c>
      <c r="M2">
        <v>4</v>
      </c>
      <c r="N2" s="8" t="s">
        <v>65</v>
      </c>
    </row>
    <row r="3" spans="1:14" ht="15.6" x14ac:dyDescent="0.3">
      <c r="A3" s="9">
        <v>2</v>
      </c>
      <c r="B3" s="5" t="s">
        <v>36</v>
      </c>
      <c r="C3">
        <v>51</v>
      </c>
      <c r="D3">
        <v>44</v>
      </c>
      <c r="E3" s="4">
        <v>750</v>
      </c>
      <c r="F3">
        <v>445</v>
      </c>
      <c r="G3">
        <v>8</v>
      </c>
      <c r="H3">
        <f>(E3*100)/F3</f>
        <v>168.53932584269663</v>
      </c>
      <c r="I3">
        <f>E3/(D3-G3)</f>
        <v>20.833333333333332</v>
      </c>
      <c r="J3">
        <f>Table2[[#This Row],[BALLS]]/(Table2[[#This Row],[SIXES]]+Table2[[#This Row],[FOURS]])</f>
        <v>3.6475409836065573</v>
      </c>
      <c r="K3">
        <v>42</v>
      </c>
      <c r="L3">
        <v>80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66</v>
      </c>
      <c r="D4">
        <v>53</v>
      </c>
      <c r="E4" s="4">
        <v>461</v>
      </c>
      <c r="F4">
        <v>334</v>
      </c>
      <c r="G4">
        <v>10</v>
      </c>
      <c r="H4">
        <f>(E4*100)/F4</f>
        <v>138.0239520958084</v>
      </c>
      <c r="I4">
        <f>E4/(D4-G4)</f>
        <v>10.720930232558139</v>
      </c>
      <c r="J4">
        <f>Table2[[#This Row],[BALLS]]/(Table2[[#This Row],[SIXES]]+Table2[[#This Row],[FOURS]])</f>
        <v>4.6388888888888893</v>
      </c>
      <c r="K4">
        <v>34</v>
      </c>
      <c r="L4">
        <v>38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57</v>
      </c>
      <c r="D5">
        <v>50</v>
      </c>
      <c r="E5" s="4">
        <v>443</v>
      </c>
      <c r="F5">
        <v>323</v>
      </c>
      <c r="G5">
        <v>6</v>
      </c>
      <c r="H5">
        <f>(E5*100)/F5</f>
        <v>137.15170278637771</v>
      </c>
      <c r="I5">
        <f>E5/(D5-G5)</f>
        <v>10.068181818181818</v>
      </c>
      <c r="J5">
        <f>Table2[[#This Row],[BALLS]]/(Table2[[#This Row],[SIXES]]+Table2[[#This Row],[FOURS]])</f>
        <v>4.8208955223880601</v>
      </c>
      <c r="K5">
        <v>23</v>
      </c>
      <c r="L5">
        <v>44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43</v>
      </c>
      <c r="D6">
        <v>35</v>
      </c>
      <c r="E6" s="4">
        <v>331</v>
      </c>
      <c r="F6">
        <v>252</v>
      </c>
      <c r="G6">
        <v>6</v>
      </c>
      <c r="H6">
        <f>(E6*100)/F6</f>
        <v>131.34920634920636</v>
      </c>
      <c r="I6">
        <f>E6/(D6-G6)</f>
        <v>11.413793103448276</v>
      </c>
      <c r="J6">
        <f>Table2[[#This Row],[BALLS]]/(Table2[[#This Row],[SIXES]]+Table2[[#This Row],[FOURS]])</f>
        <v>5.25</v>
      </c>
      <c r="K6">
        <v>15</v>
      </c>
      <c r="L6">
        <v>33</v>
      </c>
      <c r="M6">
        <v>0</v>
      </c>
      <c r="N6" s="8" t="s">
        <v>70</v>
      </c>
    </row>
    <row r="7" spans="1:14" ht="15.6" x14ac:dyDescent="0.3">
      <c r="A7" s="9">
        <v>6</v>
      </c>
      <c r="B7" s="5" t="s">
        <v>13</v>
      </c>
      <c r="C7">
        <v>41</v>
      </c>
      <c r="D7">
        <v>35</v>
      </c>
      <c r="E7" s="4">
        <v>273</v>
      </c>
      <c r="F7">
        <v>177</v>
      </c>
      <c r="G7">
        <v>4</v>
      </c>
      <c r="H7">
        <f>(E7*100)/F7</f>
        <v>154.23728813559322</v>
      </c>
      <c r="I7">
        <f>E7/(D7-G7)</f>
        <v>8.806451612903226</v>
      </c>
      <c r="J7">
        <f>Table2[[#This Row],[BALLS]]/(Table2[[#This Row],[SIXES]]+Table2[[#This Row],[FOURS]])</f>
        <v>4.4249999999999998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16</v>
      </c>
      <c r="C8">
        <v>45</v>
      </c>
      <c r="D8">
        <v>36</v>
      </c>
      <c r="E8" s="4">
        <v>259</v>
      </c>
      <c r="F8">
        <v>184</v>
      </c>
      <c r="G8">
        <v>7</v>
      </c>
      <c r="H8">
        <f>(E8*100)/F8</f>
        <v>140.7608695652174</v>
      </c>
      <c r="I8">
        <f>E8/(D8-G8)</f>
        <v>8.931034482758621</v>
      </c>
      <c r="J8">
        <f>Table2[[#This Row],[BALLS]]/(Table2[[#This Row],[SIXES]]+Table2[[#This Row],[FOURS]])</f>
        <v>4.8421052631578947</v>
      </c>
      <c r="K8">
        <v>22</v>
      </c>
      <c r="L8">
        <v>16</v>
      </c>
      <c r="M8">
        <v>0</v>
      </c>
      <c r="N8" s="8" t="s">
        <v>72</v>
      </c>
    </row>
    <row r="9" spans="1:14" ht="15.6" x14ac:dyDescent="0.3">
      <c r="A9" s="9">
        <v>8</v>
      </c>
      <c r="B9" s="5" t="s">
        <v>10</v>
      </c>
      <c r="C9">
        <v>35</v>
      </c>
      <c r="D9">
        <v>25</v>
      </c>
      <c r="E9" s="4">
        <v>247</v>
      </c>
      <c r="F9">
        <v>159</v>
      </c>
      <c r="G9">
        <v>7</v>
      </c>
      <c r="H9">
        <f>(E9*100)/F9</f>
        <v>155.34591194968553</v>
      </c>
      <c r="I9">
        <f>E9/(D9-G9)</f>
        <v>13.722222222222221</v>
      </c>
      <c r="J9">
        <f>Table2[[#This Row],[BALLS]]/(Table2[[#This Row],[SIXES]]+Table2[[#This Row],[FOURS]])</f>
        <v>4.1842105263157894</v>
      </c>
      <c r="K9">
        <v>17</v>
      </c>
      <c r="L9">
        <v>21</v>
      </c>
      <c r="M9">
        <v>0</v>
      </c>
      <c r="N9" s="8" t="s">
        <v>49</v>
      </c>
    </row>
    <row r="10" spans="1:14" ht="15.6" x14ac:dyDescent="0.3">
      <c r="A10" s="7">
        <v>9</v>
      </c>
      <c r="B10" s="5" t="s">
        <v>8</v>
      </c>
      <c r="C10">
        <v>85</v>
      </c>
      <c r="D10">
        <v>43</v>
      </c>
      <c r="E10" s="4">
        <v>240</v>
      </c>
      <c r="F10">
        <v>228</v>
      </c>
      <c r="G10">
        <v>15</v>
      </c>
      <c r="H10">
        <f>(E10*100)/F10</f>
        <v>105.26315789473684</v>
      </c>
      <c r="I10">
        <f>E10/(D10-G10)</f>
        <v>8.5714285714285712</v>
      </c>
      <c r="J10">
        <f>Table2[[#This Row],[BALLS]]/(Table2[[#This Row],[SIXES]]+Table2[[#This Row],[FOURS]])</f>
        <v>6.9090909090909092</v>
      </c>
      <c r="K10">
        <v>9</v>
      </c>
      <c r="L10">
        <v>24</v>
      </c>
      <c r="M10">
        <v>0</v>
      </c>
      <c r="N10" s="8" t="s">
        <v>68</v>
      </c>
    </row>
    <row r="11" spans="1:14" ht="15.6" x14ac:dyDescent="0.3">
      <c r="A11" s="9">
        <v>10</v>
      </c>
      <c r="B11" s="5" t="s">
        <v>15</v>
      </c>
      <c r="C11">
        <v>36</v>
      </c>
      <c r="D11">
        <v>25</v>
      </c>
      <c r="E11" s="4">
        <v>169</v>
      </c>
      <c r="F11">
        <v>163</v>
      </c>
      <c r="G11">
        <v>12</v>
      </c>
      <c r="H11">
        <f>(E11*100)/F11</f>
        <v>103.68098159509202</v>
      </c>
      <c r="I11">
        <f>E11/(D11-G11)</f>
        <v>13</v>
      </c>
      <c r="J11">
        <f>Table2[[#This Row],[BALLS]]/(Table2[[#This Row],[SIXES]]+Table2[[#This Row],[FOURS]])</f>
        <v>7.7619047619047619</v>
      </c>
      <c r="K11">
        <v>3</v>
      </c>
      <c r="L11">
        <v>18</v>
      </c>
      <c r="M11">
        <v>0</v>
      </c>
      <c r="N11" s="8" t="s">
        <v>78</v>
      </c>
    </row>
    <row r="12" spans="1:14" ht="15.6" x14ac:dyDescent="0.3">
      <c r="A12" s="7">
        <v>11</v>
      </c>
      <c r="B12" s="5" t="s">
        <v>47</v>
      </c>
      <c r="C12">
        <v>25</v>
      </c>
      <c r="D12">
        <v>17</v>
      </c>
      <c r="E12" s="4">
        <v>160</v>
      </c>
      <c r="F12">
        <v>126</v>
      </c>
      <c r="G12">
        <v>2</v>
      </c>
      <c r="H12">
        <f>(E12*100)/F12</f>
        <v>126.98412698412699</v>
      </c>
      <c r="I12">
        <f>E12/(D12-G12)</f>
        <v>10.666666666666666</v>
      </c>
      <c r="J12">
        <f>Table2[[#This Row],[BALLS]]/(Table2[[#This Row],[SIXES]]+Table2[[#This Row],[FOURS]])</f>
        <v>6</v>
      </c>
      <c r="K12">
        <v>9</v>
      </c>
      <c r="L12">
        <v>12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45</v>
      </c>
      <c r="D13">
        <v>18</v>
      </c>
      <c r="E13" s="4">
        <v>97</v>
      </c>
      <c r="F13">
        <v>88</v>
      </c>
      <c r="G13">
        <v>8</v>
      </c>
      <c r="H13">
        <f>(E13*100)/F13</f>
        <v>110.22727272727273</v>
      </c>
      <c r="I13">
        <f>E13/(D13-G13)</f>
        <v>9.6999999999999993</v>
      </c>
      <c r="J13">
        <f>Table2[[#This Row],[BALLS]]/(Table2[[#This Row],[SIXES]]+Table2[[#This Row],[FOURS]])</f>
        <v>8</v>
      </c>
      <c r="K13">
        <v>0</v>
      </c>
      <c r="L13">
        <v>11</v>
      </c>
      <c r="M13">
        <v>0</v>
      </c>
      <c r="N13" s="8" t="s">
        <v>71</v>
      </c>
    </row>
    <row r="14" spans="1:14" ht="15.6" x14ac:dyDescent="0.3">
      <c r="A14" s="7">
        <v>13</v>
      </c>
      <c r="B14" s="5" t="s">
        <v>64</v>
      </c>
      <c r="C14">
        <v>24</v>
      </c>
      <c r="D14">
        <v>17</v>
      </c>
      <c r="E14" s="4">
        <v>84</v>
      </c>
      <c r="F14">
        <v>70</v>
      </c>
      <c r="G14">
        <v>3</v>
      </c>
      <c r="H14">
        <f>(E14*100)/F14</f>
        <v>120</v>
      </c>
      <c r="I14">
        <f>E14/(D14-G14)</f>
        <v>6</v>
      </c>
      <c r="J14">
        <f>Table2[[#This Row],[BALLS]]/(Table2[[#This Row],[SIXES]]+Table2[[#This Row],[FOURS]])</f>
        <v>7</v>
      </c>
      <c r="K14">
        <v>5</v>
      </c>
      <c r="L14">
        <v>5</v>
      </c>
      <c r="M14">
        <v>0</v>
      </c>
      <c r="N14" s="8" t="s">
        <v>88</v>
      </c>
    </row>
    <row r="15" spans="1:14" ht="15.6" x14ac:dyDescent="0.3">
      <c r="A15" s="9">
        <v>14</v>
      </c>
      <c r="B15" s="5" t="s">
        <v>21</v>
      </c>
      <c r="C15">
        <v>34</v>
      </c>
      <c r="D15">
        <v>16</v>
      </c>
      <c r="E15" s="4">
        <v>83</v>
      </c>
      <c r="F15">
        <v>77</v>
      </c>
      <c r="G15">
        <v>7</v>
      </c>
      <c r="H15">
        <f>(E15*100)/F15</f>
        <v>107.79220779220779</v>
      </c>
      <c r="I15">
        <f>E15/(D15-G15)</f>
        <v>9.2222222222222214</v>
      </c>
      <c r="J15">
        <f>Table2[[#This Row],[BALLS]]/(Table2[[#This Row],[SIXES]]+Table2[[#This Row],[FOURS]])</f>
        <v>7.7</v>
      </c>
      <c r="K15">
        <v>1</v>
      </c>
      <c r="L15">
        <v>9</v>
      </c>
      <c r="M15">
        <v>0</v>
      </c>
      <c r="N15" s="8" t="s">
        <v>89</v>
      </c>
    </row>
    <row r="16" spans="1:14" ht="15.6" x14ac:dyDescent="0.3">
      <c r="A16" s="7">
        <v>15</v>
      </c>
      <c r="B16" s="5" t="s">
        <v>18</v>
      </c>
      <c r="C16">
        <v>23</v>
      </c>
      <c r="D16">
        <v>15</v>
      </c>
      <c r="E16" s="4">
        <v>53</v>
      </c>
      <c r="F16">
        <v>61</v>
      </c>
      <c r="G16">
        <v>1</v>
      </c>
      <c r="H16">
        <f>(E16*100)/F16</f>
        <v>86.885245901639351</v>
      </c>
      <c r="I16">
        <f>E16/(D16-G16)</f>
        <v>3.7857142857142856</v>
      </c>
      <c r="J16">
        <f>Table2[[#This Row],[BALLS]]/(Table2[[#This Row],[SIXES]]+Table2[[#This Row],[FOURS]])</f>
        <v>12.2</v>
      </c>
      <c r="K16">
        <v>0</v>
      </c>
      <c r="L16">
        <v>5</v>
      </c>
      <c r="M16">
        <v>0</v>
      </c>
      <c r="N16" s="8" t="s">
        <v>80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>(E17*100)/F17</f>
        <v>87.719298245614041</v>
      </c>
      <c r="I17">
        <f>E17/(D17-G17)</f>
        <v>7.1428571428571432</v>
      </c>
      <c r="J17">
        <f>Table2[[#This Row],[BALLS]]/(Table2[[#This Row],[SIXES]]+Table2[[#This Row],[FOURS]])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19</v>
      </c>
      <c r="C18">
        <v>22</v>
      </c>
      <c r="D18">
        <v>13</v>
      </c>
      <c r="E18" s="4">
        <v>45</v>
      </c>
      <c r="F18">
        <v>50</v>
      </c>
      <c r="G18">
        <v>4</v>
      </c>
      <c r="H18">
        <f>(E18*100)/F18</f>
        <v>90</v>
      </c>
      <c r="I18">
        <f>E18/(D18-G18)</f>
        <v>5</v>
      </c>
      <c r="J18">
        <f>Table2[[#This Row],[BALLS]]/(Table2[[#This Row],[SIXES]]+Table2[[#This Row],[FOURS]])</f>
        <v>8.3333333333333339</v>
      </c>
      <c r="K18">
        <v>1</v>
      </c>
      <c r="L18">
        <v>5</v>
      </c>
      <c r="M18">
        <v>0</v>
      </c>
      <c r="N18" s="8" t="s">
        <v>81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>(E19*100)/F19</f>
        <v>95</v>
      </c>
      <c r="I19">
        <f>E19/(D19-G19)</f>
        <v>19</v>
      </c>
      <c r="J19">
        <f>Table2[[#This Row],[BALLS]]/(Table2[[#This Row],[SIXES]]+Table2[[#This Row],[FOURS]])</f>
        <v>10</v>
      </c>
      <c r="K19">
        <v>1</v>
      </c>
      <c r="L19">
        <v>3</v>
      </c>
      <c r="M19">
        <v>0</v>
      </c>
      <c r="N19" s="8" t="s">
        <v>59</v>
      </c>
    </row>
    <row r="20" spans="1:14" ht="15.6" x14ac:dyDescent="0.3">
      <c r="A20" s="7">
        <v>19</v>
      </c>
      <c r="B20" s="5" t="s">
        <v>22</v>
      </c>
      <c r="C20">
        <v>16</v>
      </c>
      <c r="D20">
        <v>8</v>
      </c>
      <c r="E20" s="4">
        <v>35</v>
      </c>
      <c r="F20">
        <v>43</v>
      </c>
      <c r="G20">
        <v>2</v>
      </c>
      <c r="H20">
        <f>(E20*100)/F20</f>
        <v>81.395348837209298</v>
      </c>
      <c r="I20">
        <f>E20/(D20-G20)</f>
        <v>5.833333333333333</v>
      </c>
      <c r="J20">
        <f>Table2[[#This Row],[BALLS]]/(Table2[[#This Row],[SIXES]]+Table2[[#This Row],[FOURS]])</f>
        <v>21.5</v>
      </c>
      <c r="K20">
        <v>0</v>
      </c>
      <c r="L20">
        <v>2</v>
      </c>
      <c r="M20">
        <v>0</v>
      </c>
      <c r="N20" s="8" t="s">
        <v>75</v>
      </c>
    </row>
    <row r="21" spans="1:14" ht="15.6" x14ac:dyDescent="0.3">
      <c r="A21" s="9">
        <v>20</v>
      </c>
      <c r="B21" s="5" t="s">
        <v>23</v>
      </c>
      <c r="C21">
        <v>11</v>
      </c>
      <c r="D21">
        <v>4</v>
      </c>
      <c r="E21" s="4">
        <v>28</v>
      </c>
      <c r="F21">
        <v>39</v>
      </c>
      <c r="G21">
        <v>1</v>
      </c>
      <c r="H21">
        <f>(E21*100)/F21</f>
        <v>71.794871794871796</v>
      </c>
      <c r="I21">
        <f>E21/(D21-G21)</f>
        <v>9.3333333333333339</v>
      </c>
      <c r="J21">
        <f>Table2[[#This Row],[BALLS]]/(Table2[[#This Row],[SIXES]]+Table2[[#This Row],[FOURS]])</f>
        <v>39</v>
      </c>
      <c r="K21">
        <v>0</v>
      </c>
      <c r="L21">
        <v>1</v>
      </c>
      <c r="M21">
        <v>0</v>
      </c>
      <c r="N21" s="8" t="s">
        <v>77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>
        <f>(E22*100)/F22</f>
        <v>121.42857142857143</v>
      </c>
      <c r="I22">
        <f>E22/(D22-G22)</f>
        <v>8.5</v>
      </c>
      <c r="J22">
        <f>Table2[[#This Row],[BALLS]]/(Table2[[#This Row],[SIXES]]+Table2[[#This Row],[FOURS]])</f>
        <v>4.666666666666667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>
        <f>(E23*100)/F23</f>
        <v>72.727272727272734</v>
      </c>
      <c r="I23">
        <f>E23/(D23-G23)</f>
        <v>5.333333333333333</v>
      </c>
      <c r="J23">
        <f>Table2[[#This Row],[BALLS]]/(Table2[[#This Row],[SIXES]]+Table2[[#This Row],[FOURS]])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8</v>
      </c>
      <c r="D24">
        <v>5</v>
      </c>
      <c r="E24" s="4">
        <v>15</v>
      </c>
      <c r="F24">
        <v>32</v>
      </c>
      <c r="G24">
        <v>2</v>
      </c>
      <c r="H24">
        <f>(E24*100)/F24</f>
        <v>46.875</v>
      </c>
      <c r="I24">
        <f>E24/(D24-G24)</f>
        <v>5</v>
      </c>
      <c r="J24">
        <f>Table2[[#This Row],[BALLS]]/(Table2[[#This Row],[SIXES]]+Table2[[#This Row],[FOURS]])</f>
        <v>32</v>
      </c>
      <c r="K24">
        <v>0</v>
      </c>
      <c r="L24">
        <v>1</v>
      </c>
      <c r="M24">
        <v>0</v>
      </c>
      <c r="N24" s="8" t="s">
        <v>67</v>
      </c>
    </row>
    <row r="25" spans="1:14" ht="15.6" x14ac:dyDescent="0.3">
      <c r="A25" s="9">
        <v>24</v>
      </c>
      <c r="B25" s="5" t="s">
        <v>69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>(E25*100)/F25</f>
        <v>100</v>
      </c>
      <c r="I25">
        <f>E25/(D25-G25)</f>
        <v>3</v>
      </c>
      <c r="J25">
        <f>Table2[[#This Row],[BALLS]]/(Table2[[#This Row],[SIXES]]+Table2[[#This Row],[FOURS]])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42</v>
      </c>
      <c r="C26">
        <v>4</v>
      </c>
      <c r="D26">
        <v>4</v>
      </c>
      <c r="E26" s="4">
        <v>8</v>
      </c>
      <c r="F26">
        <v>11</v>
      </c>
      <c r="G26">
        <v>2</v>
      </c>
      <c r="H26">
        <f>(E26*100)/F26</f>
        <v>72.727272727272734</v>
      </c>
      <c r="I26">
        <f>E26/(D26-G26)</f>
        <v>4</v>
      </c>
      <c r="J26">
        <f>Table2[[#This Row],[BALLS]]/(Table2[[#This Row],[SIXES]]+Table2[[#This Row],[FOURS]])</f>
        <v>11</v>
      </c>
      <c r="K26">
        <v>0</v>
      </c>
      <c r="L26">
        <v>1</v>
      </c>
      <c r="M26">
        <v>0</v>
      </c>
      <c r="N26" s="8" t="s">
        <v>52</v>
      </c>
    </row>
    <row r="27" spans="1:14" ht="15.6" x14ac:dyDescent="0.3">
      <c r="A27" s="9">
        <v>26</v>
      </c>
      <c r="B27" s="5" t="s">
        <v>24</v>
      </c>
      <c r="C27">
        <v>8</v>
      </c>
      <c r="D27">
        <v>2</v>
      </c>
      <c r="E27" s="4">
        <v>8</v>
      </c>
      <c r="F27">
        <v>14</v>
      </c>
      <c r="G27">
        <v>1</v>
      </c>
      <c r="H27">
        <f>(E27*100)/F27</f>
        <v>57.142857142857146</v>
      </c>
      <c r="I27">
        <f>E27/(D27-G27)</f>
        <v>8</v>
      </c>
      <c r="J27">
        <f>Table2[[#This Row],[BALLS]]/(Table2[[#This Row],[SIXES]]+Table2[[#This Row],[FOURS]])</f>
        <v>14</v>
      </c>
      <c r="K27">
        <v>0</v>
      </c>
      <c r="L27">
        <v>1</v>
      </c>
      <c r="M27">
        <v>0</v>
      </c>
      <c r="N27" s="8" t="s">
        <v>76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>(E28*100)/F28</f>
        <v>25</v>
      </c>
      <c r="I28">
        <v>0</v>
      </c>
      <c r="J28" t="s">
        <v>87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5"/>
  <sheetViews>
    <sheetView tabSelected="1" zoomScale="108" zoomScaleNormal="167" workbookViewId="0">
      <selection activeCell="G2" sqref="G2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85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85</v>
      </c>
      <c r="D2">
        <v>135.30000000000001</v>
      </c>
      <c r="E2" s="4">
        <v>95</v>
      </c>
      <c r="F2">
        <v>1334</v>
      </c>
      <c r="G2">
        <f>F2*6 / (INT(D2)*6 + MOD(D2,1)*10)</f>
        <v>9.8450184501845008</v>
      </c>
      <c r="H2">
        <f>F2/E2</f>
        <v>14.042105263157895</v>
      </c>
      <c r="I2">
        <f>IF(E2=0,"-", (INT(D2)*6 + MOD(D2,1)*10) / E2)</f>
        <v>8.5578947368421066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65</v>
      </c>
      <c r="D3">
        <v>116.4</v>
      </c>
      <c r="E3" s="4">
        <v>69</v>
      </c>
      <c r="F3">
        <v>1287</v>
      </c>
      <c r="G3">
        <f>F3*6 / (INT(D3)*6 + MOD(D3,1)*10)</f>
        <v>11.031428571428572</v>
      </c>
      <c r="H3">
        <f>F3/E3</f>
        <v>18.652173913043477</v>
      </c>
      <c r="I3">
        <f>IF(E3=0,"-", (INT(D3)*6 + MOD(D3,1)*10) / E3)</f>
        <v>10.144927536231885</v>
      </c>
      <c r="J3">
        <v>8</v>
      </c>
      <c r="K3">
        <v>0</v>
      </c>
      <c r="L3" t="s">
        <v>66</v>
      </c>
    </row>
    <row r="4" spans="1:12" ht="15.6" x14ac:dyDescent="0.3">
      <c r="A4" s="7">
        <v>3</v>
      </c>
      <c r="B4" s="5" t="s">
        <v>36</v>
      </c>
      <c r="C4">
        <v>51</v>
      </c>
      <c r="D4">
        <v>91.2</v>
      </c>
      <c r="E4" s="4">
        <v>60</v>
      </c>
      <c r="F4">
        <v>958</v>
      </c>
      <c r="G4">
        <f>F4*6 / (INT(D4)*6 + MOD(D4,1)*10)</f>
        <v>10.489051094890511</v>
      </c>
      <c r="H4">
        <f>F4/E4</f>
        <v>15.966666666666667</v>
      </c>
      <c r="I4">
        <f>IF(E4=0,"-", (INT(D4)*6 + MOD(D4,1)*10) / E4)</f>
        <v>9.1333333333333329</v>
      </c>
      <c r="J4">
        <v>3</v>
      </c>
      <c r="K4">
        <v>0</v>
      </c>
      <c r="L4" t="s">
        <v>83</v>
      </c>
    </row>
    <row r="5" spans="1:12" ht="15.6" x14ac:dyDescent="0.3">
      <c r="A5">
        <v>4</v>
      </c>
      <c r="B5" s="5" t="s">
        <v>14</v>
      </c>
      <c r="C5">
        <v>43</v>
      </c>
      <c r="D5">
        <v>74.3</v>
      </c>
      <c r="E5" s="4">
        <v>47</v>
      </c>
      <c r="F5">
        <v>773</v>
      </c>
      <c r="G5">
        <f>F5*6 / (INT(D5)*6 + MOD(D5,1)*10)</f>
        <v>10.375838926174497</v>
      </c>
      <c r="H5">
        <f>F5/E5</f>
        <v>16.446808510638299</v>
      </c>
      <c r="I5">
        <f>IF(E5=0,"-", (INT(D5)*6 + MOD(D5,1)*10) / E5)</f>
        <v>9.5106382978723403</v>
      </c>
      <c r="J5">
        <v>7</v>
      </c>
      <c r="K5">
        <v>0</v>
      </c>
      <c r="L5" t="s">
        <v>74</v>
      </c>
    </row>
    <row r="6" spans="1:12" ht="15.6" x14ac:dyDescent="0.3">
      <c r="A6" s="7">
        <v>5</v>
      </c>
      <c r="B6" s="5" t="s">
        <v>9</v>
      </c>
      <c r="C6">
        <v>66</v>
      </c>
      <c r="D6">
        <v>59.4</v>
      </c>
      <c r="E6" s="4">
        <v>44</v>
      </c>
      <c r="F6">
        <v>608</v>
      </c>
      <c r="G6">
        <f>F6*6 / (INT(D6)*6 + MOD(D6,1)*10)</f>
        <v>10.189944134078212</v>
      </c>
      <c r="H6">
        <f>F6/E6</f>
        <v>13.818181818181818</v>
      </c>
      <c r="I6">
        <f>IF(E6=0,"-", (INT(D6)*6 + MOD(D6,1)*10) / E6)</f>
        <v>8.1363636363636367</v>
      </c>
      <c r="J6">
        <v>4</v>
      </c>
      <c r="K6">
        <v>0</v>
      </c>
      <c r="L6" t="s">
        <v>82</v>
      </c>
    </row>
    <row r="7" spans="1:12" ht="15.6" x14ac:dyDescent="0.3">
      <c r="A7">
        <v>6</v>
      </c>
      <c r="B7" s="5" t="s">
        <v>20</v>
      </c>
      <c r="C7">
        <v>45</v>
      </c>
      <c r="D7">
        <v>40.4</v>
      </c>
      <c r="E7" s="4">
        <v>23</v>
      </c>
      <c r="F7">
        <v>379</v>
      </c>
      <c r="G7">
        <f>F7*6 / (INT(D7)*6 + MOD(D7,1)*10)</f>
        <v>9.3196721311475414</v>
      </c>
      <c r="H7">
        <f>F7/E7</f>
        <v>16.478260869565219</v>
      </c>
      <c r="I7">
        <f>IF(E7=0,"-", (INT(D7)*6 + MOD(D7,1)*10) / E7)</f>
        <v>10.608695652173912</v>
      </c>
      <c r="J7">
        <v>2</v>
      </c>
      <c r="K7">
        <v>0</v>
      </c>
      <c r="L7" t="s">
        <v>63</v>
      </c>
    </row>
    <row r="8" spans="1:12" ht="15.6" x14ac:dyDescent="0.3">
      <c r="A8" s="7">
        <v>7</v>
      </c>
      <c r="B8" s="5" t="s">
        <v>18</v>
      </c>
      <c r="C8">
        <v>24</v>
      </c>
      <c r="D8">
        <v>31.3</v>
      </c>
      <c r="E8" s="4">
        <v>21</v>
      </c>
      <c r="F8">
        <v>292</v>
      </c>
      <c r="G8">
        <f>F8*6 / (INT(D8)*6 + MOD(D8,1)*10)</f>
        <v>9.2698412698412707</v>
      </c>
      <c r="H8">
        <f>F8/E8</f>
        <v>13.904761904761905</v>
      </c>
      <c r="I8">
        <f>IF(E8=0,"-", (INT(D8)*6 + MOD(D8,1)*10) / E8)</f>
        <v>9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64</v>
      </c>
      <c r="C9">
        <v>24</v>
      </c>
      <c r="D9">
        <v>30.3</v>
      </c>
      <c r="E9" s="4">
        <v>20</v>
      </c>
      <c r="F9">
        <v>261</v>
      </c>
      <c r="G9">
        <f>F9*6 / (INT(D9)*6 + MOD(D9,1)*10)</f>
        <v>8.557377049180328</v>
      </c>
      <c r="H9">
        <f>F9/E9</f>
        <v>13.05</v>
      </c>
      <c r="I9">
        <f>IF(E9=0,"-", (INT(D9)*6 + MOD(D9,1)*10) / E9)</f>
        <v>9.15</v>
      </c>
      <c r="J9">
        <v>2</v>
      </c>
      <c r="K9">
        <v>0</v>
      </c>
      <c r="L9" t="s">
        <v>84</v>
      </c>
    </row>
    <row r="10" spans="1:12" ht="15.6" x14ac:dyDescent="0.3">
      <c r="A10" s="7">
        <v>9</v>
      </c>
      <c r="B10" s="5" t="s">
        <v>21</v>
      </c>
      <c r="C10">
        <v>34</v>
      </c>
      <c r="D10">
        <v>28.1</v>
      </c>
      <c r="E10" s="4">
        <v>19</v>
      </c>
      <c r="F10">
        <v>259</v>
      </c>
      <c r="G10">
        <f>F10*6 / (INT(D10)*6 + MOD(D10,1)*10)</f>
        <v>9.1952662721893486</v>
      </c>
      <c r="H10">
        <f>F10/E10</f>
        <v>13.631578947368421</v>
      </c>
      <c r="I10">
        <f>IF(E10=0,"-", (INT(D10)*6 + MOD(D10,1)*10) / E10)</f>
        <v>8.8947368421052637</v>
      </c>
      <c r="J10">
        <v>1</v>
      </c>
      <c r="K10">
        <v>0</v>
      </c>
      <c r="L10" t="s">
        <v>44</v>
      </c>
    </row>
    <row r="11" spans="1:12" ht="15.6" x14ac:dyDescent="0.3">
      <c r="A11">
        <v>10</v>
      </c>
      <c r="B11" s="5" t="s">
        <v>22</v>
      </c>
      <c r="C11">
        <v>16</v>
      </c>
      <c r="D11">
        <v>14.2</v>
      </c>
      <c r="E11" s="4">
        <v>11</v>
      </c>
      <c r="F11">
        <v>132</v>
      </c>
      <c r="G11">
        <f>F11*6 / (INT(D11)*6 + MOD(D11,1)*10)</f>
        <v>9.2093023255813957</v>
      </c>
      <c r="H11">
        <f>F11/E11</f>
        <v>12</v>
      </c>
      <c r="I11">
        <f>IF(E11=0,"-", (INT(D11)*6 + MOD(D11,1)*10) / E11)</f>
        <v>7.8181818181818183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35</v>
      </c>
      <c r="D12">
        <v>6</v>
      </c>
      <c r="E12" s="4">
        <v>3</v>
      </c>
      <c r="F12">
        <v>73</v>
      </c>
      <c r="G12">
        <f>F12*6 / (INT(D12)*6 + MOD(D12,1)*10)</f>
        <v>12.166666666666666</v>
      </c>
      <c r="H12">
        <f>F12/E12</f>
        <v>24.333333333333332</v>
      </c>
      <c r="I12">
        <f>IF(E12=0,"-", (INT(D12)*6 + MOD(D12,1)*10) / E12)</f>
        <v>12</v>
      </c>
      <c r="J12">
        <v>0</v>
      </c>
      <c r="K12">
        <v>0</v>
      </c>
      <c r="L12" s="1" t="s">
        <v>79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>F13*6 / (INT(D13)*6 + MOD(D13,1)*10)</f>
        <v>14.333333333333334</v>
      </c>
      <c r="H13">
        <f>F13/E13</f>
        <v>43</v>
      </c>
      <c r="I13">
        <f>IF(E13=0,"-", (INT(D13)*6 + MOD(D13,1)*10) / E13)</f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57</v>
      </c>
      <c r="D14">
        <v>0.3</v>
      </c>
      <c r="E14" s="4">
        <v>1</v>
      </c>
      <c r="F14">
        <v>0</v>
      </c>
      <c r="G14">
        <f>F14*6 / (INT(D14)*6 + MOD(D14,1)*10)</f>
        <v>0</v>
      </c>
      <c r="H14">
        <f>F14/E14</f>
        <v>0</v>
      </c>
      <c r="I14">
        <f>IF(E14=0,"-", (INT(D14)*6 + MOD(D14,1)*10) / E14)</f>
        <v>3</v>
      </c>
      <c r="J14">
        <v>0</v>
      </c>
      <c r="K14">
        <v>0</v>
      </c>
      <c r="L14" t="s">
        <v>86</v>
      </c>
    </row>
    <row r="15" spans="1:12" ht="15.6" x14ac:dyDescent="0.3">
      <c r="A15" s="9">
        <v>14</v>
      </c>
      <c r="B15" s="5" t="s">
        <v>13</v>
      </c>
      <c r="C15">
        <v>41</v>
      </c>
      <c r="D15">
        <v>2</v>
      </c>
      <c r="E15" s="4">
        <v>0</v>
      </c>
      <c r="F15">
        <v>23</v>
      </c>
      <c r="G15">
        <f>F15*6 / (INT(D15)*6 + MOD(D15,1)*10)</f>
        <v>11.5</v>
      </c>
      <c r="H15" t="s">
        <v>87</v>
      </c>
      <c r="I15" t="str">
        <f>IF(E15=0,"-", (INT(D15)*6 + MOD(D15,1)*10) / E15)</f>
        <v>-</v>
      </c>
      <c r="J15">
        <v>0</v>
      </c>
      <c r="K15">
        <v>0</v>
      </c>
      <c r="L15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BATTING</vt:lpstr>
      <vt:lpstr>BOWLING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2026-06-15T17:10:00Z</dcterms:modified>
</cp:coreProperties>
</file>