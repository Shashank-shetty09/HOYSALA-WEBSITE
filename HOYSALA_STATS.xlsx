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A2916204-C041-432B-9DF1-0B991377FD0B}" xr6:coauthVersionLast="47" xr6:coauthVersionMax="47" xr10:uidLastSave="{00000000-0000-0000-0000-000000000000}"/>
  <bookViews>
    <workbookView xWindow="1068" yWindow="1140" windowWidth="10728" windowHeight="9420" xr2:uid="{49A19E03-9679-4684-9B3B-B42A2982796E}"/>
  </bookViews>
  <sheets>
    <sheet name="BATTING" sheetId="1" r:id="rId1"/>
    <sheet name="BOW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2" i="2"/>
  <c r="I2" i="2"/>
  <c r="I3" i="2"/>
  <c r="I4" i="2"/>
  <c r="I5" i="2"/>
  <c r="I6" i="2"/>
  <c r="I7" i="2"/>
  <c r="I8" i="2"/>
  <c r="I9" i="2"/>
  <c r="I11" i="2"/>
  <c r="I12" i="2"/>
  <c r="I13" i="2"/>
  <c r="H4" i="2"/>
  <c r="H5" i="2"/>
  <c r="H6" i="2"/>
  <c r="H7" i="2"/>
  <c r="H8" i="2"/>
  <c r="H9" i="2"/>
  <c r="H10" i="2"/>
  <c r="H11" i="2"/>
  <c r="H12" i="2"/>
  <c r="G4" i="2"/>
  <c r="G5" i="2"/>
  <c r="G6" i="2"/>
  <c r="G7" i="2"/>
  <c r="G8" i="2"/>
  <c r="G9" i="2"/>
  <c r="G10" i="2"/>
  <c r="G11" i="2"/>
  <c r="G12" i="2"/>
  <c r="G13" i="2"/>
  <c r="H11" i="1"/>
  <c r="J3" i="1"/>
  <c r="J4" i="1"/>
  <c r="J5" i="1"/>
  <c r="J8" i="1"/>
  <c r="J9" i="1"/>
  <c r="J6" i="1"/>
  <c r="J7" i="1"/>
  <c r="J10" i="1"/>
  <c r="J11" i="1"/>
  <c r="J12" i="1"/>
  <c r="J13" i="1"/>
  <c r="J14" i="1"/>
  <c r="J15" i="1"/>
  <c r="J17" i="1"/>
  <c r="J16" i="1"/>
  <c r="J18" i="1"/>
  <c r="J19" i="1"/>
  <c r="J20" i="1"/>
  <c r="J21" i="1"/>
  <c r="J22" i="1"/>
  <c r="J23" i="1"/>
  <c r="J24" i="1"/>
  <c r="J25" i="1"/>
  <c r="J26" i="1"/>
  <c r="J27" i="1"/>
  <c r="I3" i="1"/>
  <c r="I4" i="1"/>
  <c r="I5" i="1"/>
  <c r="I8" i="1"/>
  <c r="I9" i="1"/>
  <c r="I6" i="1"/>
  <c r="I7" i="1"/>
  <c r="I10" i="1"/>
  <c r="I11" i="1"/>
  <c r="I12" i="1"/>
  <c r="I13" i="1"/>
  <c r="I14" i="1"/>
  <c r="I15" i="1"/>
  <c r="I17" i="1"/>
  <c r="I16" i="1"/>
  <c r="I18" i="1"/>
  <c r="I19" i="1"/>
  <c r="I20" i="1"/>
  <c r="I21" i="1"/>
  <c r="I22" i="1"/>
  <c r="I23" i="1"/>
  <c r="I24" i="1"/>
  <c r="I25" i="1"/>
  <c r="I26" i="1"/>
  <c r="I27" i="1"/>
  <c r="H3" i="1"/>
  <c r="H4" i="1"/>
  <c r="H5" i="1"/>
  <c r="H8" i="1"/>
  <c r="H9" i="1"/>
  <c r="H6" i="1"/>
  <c r="H7" i="1"/>
  <c r="H10" i="1"/>
  <c r="H12" i="1"/>
  <c r="H13" i="1"/>
  <c r="H14" i="1"/>
  <c r="H15" i="1"/>
  <c r="H17" i="1"/>
  <c r="H16" i="1"/>
  <c r="H18" i="1"/>
  <c r="H19" i="1"/>
  <c r="H20" i="1"/>
  <c r="H21" i="1"/>
  <c r="H22" i="1"/>
  <c r="H23" i="1"/>
  <c r="H24" i="1"/>
  <c r="H25" i="1"/>
  <c r="H26" i="1"/>
  <c r="H27" i="1"/>
  <c r="H28" i="1"/>
  <c r="G14" i="2"/>
  <c r="I2" i="1"/>
  <c r="I14" i="2"/>
  <c r="I10" i="2"/>
  <c r="J2" i="1"/>
  <c r="H13" i="2"/>
  <c r="H2" i="1"/>
  <c r="H2" i="2" l="1"/>
  <c r="H3" i="2"/>
</calcChain>
</file>

<file path=xl/sharedStrings.xml><?xml version="1.0" encoding="utf-8"?>
<sst xmlns="http://schemas.openxmlformats.org/spreadsheetml/2006/main" count="107" uniqueCount="90">
  <si>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</si>
  <si>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</si>
  <si>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</si>
  <si>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</si>
  <si>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</si>
  <si>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</si>
  <si>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</si>
  <si>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</si>
  <si>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</si>
  <si>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</si>
  <si>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</si>
  <si>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</si>
  <si>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</si>
  <si>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</si>
  <si>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</si>
  <si>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</si>
  <si>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</si>
  <si>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</si>
  <si>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</si>
  <si>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</si>
  <si>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</si>
  <si>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</si>
  <si>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</si>
  <si>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</si>
  <si>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</si>
  <si>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</si>
  <si>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</si>
  <si>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</si>
  <si>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</si>
  <si>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</si>
  <si>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</si>
  <si>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</si>
  <si>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</si>
  <si>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</si>
  <si>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</si>
  <si>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</si>
  <si>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</si>
  <si>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</si>
  <si>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</si>
  <si>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</si>
  <si>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</si>
  <si>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</si>
  <si>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</si>
  <si>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</si>
  <si>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</si>
  <si>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</si>
  <si>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</si>
  <si>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</si>
  <si>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32(20)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</si>
  <si>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</si>
  <si>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</si>
  <si>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</si>
  <si>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</si>
  <si>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</si>
  <si>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</si>
  <si>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</si>
  <si>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</si>
  <si>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</si>
  <si>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</si>
  <si>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</si>
  <si>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</si>
  <si>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</si>
  <si>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</si>
  <si>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-</t>
  </si>
  <si>
    <t>1-0-1-3</t>
  </si>
  <si>
    <t>NITIN</t>
  </si>
  <si>
    <t>72(25)</t>
  </si>
  <si>
    <t>3-0-27-4</t>
  </si>
  <si>
    <t>6(6)</t>
  </si>
  <si>
    <t>25(20)*</t>
  </si>
  <si>
    <t>VANSH</t>
  </si>
  <si>
    <t>33(17)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</si>
  <si>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</si>
  <si>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</si>
  <si>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</si>
  <si>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</si>
  <si>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</si>
  <si>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</si>
  <si>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</si>
  <si>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</si>
  <si>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15(13)</t>
  </si>
  <si>
    <t>1-0-10-1</t>
  </si>
  <si>
    <t>15(15)</t>
  </si>
  <si>
    <t>7(6)*</t>
  </si>
  <si>
    <t>1-0-6-3</t>
  </si>
  <si>
    <t>2-0-28-4</t>
  </si>
  <si>
    <t>9(4)</t>
  </si>
  <si>
    <t>3-0-19-4</t>
  </si>
  <si>
    <t>RANK</t>
  </si>
  <si>
    <t>SHASHANK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</si>
</sst>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</cellXfs>
  <cellStyles count="1">
    <cellStyle name="Normal" xfId="0" builtinId="0"/>
  </cellStyles>
  <dxfs count="14">
    <dxf>
      <alignment horizontal="center" vertical="bottom" textRotation="0" wrapText="1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BE6964-BD1D-4237-A8DF-EF8ED338E98A}" name="Table2" displayName="Table2" ref="B1:N28" totalsRowShown="0" headerRowDxfId="13">
  <autoFilter ref="B1:N28" xr:uid="{7BBE6964-BD1D-4237-A8DF-EF8ED338E98A}"/>
  <sortState xmlns:xlrd2="http://schemas.microsoft.com/office/spreadsheetml/2017/richdata2" ref="B2:N28">
    <sortCondition descending="1" ref="E1:E28"/>
  </sortState>
  <tableColumns count="13">
    <tableColumn id="1" xr3:uid="{E7944DB0-6A7F-42AE-8059-ECF3D263A4D7}" name="BATSMAN" dataDxfId="12" totalsRowDxfId="11"/>
    <tableColumn id="2" xr3:uid="{80748AF9-E334-4123-89FF-4BC587690FE6}" name="MATCHES"/>
    <tableColumn id="3" xr3:uid="{569C1087-46BE-49F5-9386-B1AC49620653}" name="INNINGS"/>
    <tableColumn id="4" xr3:uid="{243E0563-7066-4B0D-8875-3C822D7A6ABC}" name="RUNS" dataDxfId="10" totalsRowDxfId="9"/>
    <tableColumn id="5" xr3:uid="{6E0A28CA-3C6E-4D65-B94D-17D5EEF6C90F}" name="BALLS"/>
    <tableColumn id="6" xr3:uid="{532CDF61-F673-4D75-AB97-B40B7FC39E60}" name="NOT OUTS"/>
    <tableColumn id="7" xr3:uid="{5B901B53-6E69-48F5-BB71-65021AACFF8B}" name="STRIKERATE">
      <calculatedColumnFormula>(E2*100)/F2</calculatedColumnFormula>
    </tableColumn>
    <tableColumn id="8" xr3:uid="{5F02881E-B2E7-4759-8D2E-C1EF3BA1E1F3}" name="AVERAGE">
      <calculatedColumnFormula>E2/(D2-G2)</calculatedColumnFormula>
    </tableColumn>
    <tableColumn id="13" xr3:uid="{BCA71AD4-54A7-443B-A838-54034AD54467}" name="Balls/bdry" dataDxfId="8">
      <calculatedColumnFormula>Table2[[#This Row],[BALLS]]/(Table2[[#This Row],[SIXES]]+Table2[[#This Row],[FOURS]])</calculatedColumnFormula>
    </tableColumn>
    <tableColumn id="9" xr3:uid="{0A4AE5FF-42D9-4E97-9CDC-67C1D9F34AE9}" name="SIXES"/>
    <tableColumn id="10" xr3:uid="{047DBA7D-6CD2-490B-8725-C2F5EC4F6BDE}" name="FOURS"/>
    <tableColumn id="11" xr3:uid="{DB1F6BD9-3C83-4AB7-BDBB-A1F14E02C697}" name="50"/>
    <tableColumn id="12" xr3:uid="{1DDC88F8-2E59-4F78-9C45-88A55B04F5B7}" name="BEST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5213E7-163F-4BDF-A3A6-7F45DEBD27FC}" name="Table3" displayName="Table3" ref="B1:L14" totalsRowShown="0" headerRowDxfId="6">
  <autoFilter ref="B1:L14" xr:uid="{BF5213E7-163F-4BDF-A3A6-7F45DEBD27FC}"/>
  <sortState xmlns:xlrd2="http://schemas.microsoft.com/office/spreadsheetml/2017/richdata2" ref="B2:L14">
    <sortCondition descending="1" ref="E1:E14"/>
  </sortState>
  <tableColumns count="11">
    <tableColumn id="1" xr3:uid="{ED02EB8F-2D91-4BA1-B84B-4B7B449813BC}" name="BOWLER" dataDxfId="5" totalsRowDxfId="4"/>
    <tableColumn id="2" xr3:uid="{ED183527-D378-46C8-A162-34448CE167A6}" name="MATCHES"/>
    <tableColumn id="3" xr3:uid="{A53B8CFF-467E-4019-86DE-3327DD567ABC}" name="OVERS"/>
    <tableColumn id="5" xr3:uid="{5F474394-13BD-4ECA-882C-674F9813D9FE}" name="WICKETS" dataDxfId="3" totalsRowDxfId="2"/>
    <tableColumn id="6" xr3:uid="{78732338-1160-422B-8D40-E1F815772DA1}" name="RUNS"/>
    <tableColumn id="7" xr3:uid="{9F0D0498-C0F7-43D2-9135-3EAA10649D67}" name="ECONOMY" dataDxfId="1">
      <calculatedColumnFormula>F2*6 / (INT(D2)*6 + MOD(D2,1)*10)</calculatedColumnFormula>
    </tableColumn>
    <tableColumn id="8" xr3:uid="{B3F0C065-6F2B-4140-A897-DAD553790118}" name="AVERAGE">
      <calculatedColumnFormula>F2/E2</calculatedColumnFormula>
    </tableColumn>
    <tableColumn id="9" xr3:uid="{1F27FD5E-4689-4443-93EE-6E18C4F92100}" name="STRIKE RATE">
      <calculatedColumnFormula>IF(E2=0,"-", (INT(D2)*6 + MOD(D2,1)*10) / E2)</calculatedColumnFormula>
    </tableColumn>
    <tableColumn id="10" xr3:uid="{42AE4F87-E59E-4C64-A0DF-748A126E590A}" name="3-W"/>
    <tableColumn id="11" xr3:uid="{9183351A-B196-41D2-A811-A968A8830BEC}" name="5-W"/>
    <tableColumn id="12" xr3:uid="{082218BF-46DC-4FF2-95FB-2EBDD2DF078A}" name="BEST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tabSelected="1" zoomScale="90" zoomScaleNormal="90" workbookViewId="0">
      <selection activeCell="B9" sqref="B9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88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74</v>
      </c>
      <c r="K1" s="2" t="s">
        <v>6</v>
      </c>
      <c r="L1" s="2" t="s">
        <v>7</v>
      </c>
      <c r="M1" s="2" t="s">
        <v>62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62</v>
      </c>
      <c r="D2">
        <v>58</v>
      </c>
      <c r="E2" s="4">
        <v>1152</v>
      </c>
      <c r="F2">
        <v>544</v>
      </c>
      <c r="G2">
        <v>5</v>
      </c>
      <c r="H2">
        <f t="shared" ref="H2:H28" si="0">(E2*100)/F2</f>
        <v>211.76470588235293</v>
      </c>
      <c r="I2">
        <f t="shared" ref="I2:I27" si="1">E2/(D2-G2)</f>
        <v>21.735849056603772</v>
      </c>
      <c r="J2">
        <f>Table2[[#This Row],[BALLS]]/(Table2[[#This Row],[SIXES]]+Table2[[#This Row],[FOURS]])</f>
        <v>2.8481675392670156</v>
      </c>
      <c r="K2">
        <v>116</v>
      </c>
      <c r="L2">
        <v>75</v>
      </c>
      <c r="M2">
        <v>4</v>
      </c>
      <c r="N2" s="8" t="s">
        <v>66</v>
      </c>
    </row>
    <row r="3" spans="1:14" ht="15.6" x14ac:dyDescent="0.3">
      <c r="A3" s="9">
        <v>2</v>
      </c>
      <c r="B3" s="5" t="s">
        <v>36</v>
      </c>
      <c r="C3">
        <v>48</v>
      </c>
      <c r="D3">
        <v>41</v>
      </c>
      <c r="E3" s="4">
        <v>710</v>
      </c>
      <c r="F3">
        <v>423</v>
      </c>
      <c r="G3">
        <v>7</v>
      </c>
      <c r="H3">
        <f t="shared" si="0"/>
        <v>167.84869976359337</v>
      </c>
      <c r="I3">
        <f t="shared" si="1"/>
        <v>20.882352941176471</v>
      </c>
      <c r="J3">
        <f>Table2[[#This Row],[BALLS]]/(Table2[[#This Row],[SIXES]]+Table2[[#This Row],[FOURS]])</f>
        <v>3.7105263157894739</v>
      </c>
      <c r="K3">
        <v>41</v>
      </c>
      <c r="L3">
        <v>73</v>
      </c>
      <c r="M3">
        <v>1</v>
      </c>
      <c r="N3" s="8" t="s">
        <v>50</v>
      </c>
    </row>
    <row r="4" spans="1:14" ht="15.6" x14ac:dyDescent="0.3">
      <c r="A4" s="7">
        <v>3</v>
      </c>
      <c r="B4" s="5" t="s">
        <v>9</v>
      </c>
      <c r="C4">
        <v>63</v>
      </c>
      <c r="D4">
        <v>52</v>
      </c>
      <c r="E4" s="4">
        <v>456</v>
      </c>
      <c r="F4">
        <v>329</v>
      </c>
      <c r="G4">
        <v>10</v>
      </c>
      <c r="H4">
        <f t="shared" si="0"/>
        <v>138.60182370820669</v>
      </c>
      <c r="I4">
        <f t="shared" si="1"/>
        <v>10.857142857142858</v>
      </c>
      <c r="J4">
        <f>Table2[[#This Row],[BALLS]]/(Table2[[#This Row],[SIXES]]+Table2[[#This Row],[FOURS]])</f>
        <v>4.6338028169014081</v>
      </c>
      <c r="K4">
        <v>34</v>
      </c>
      <c r="L4">
        <v>37</v>
      </c>
      <c r="M4">
        <v>1</v>
      </c>
      <c r="N4" s="8" t="s">
        <v>54</v>
      </c>
    </row>
    <row r="5" spans="1:14" ht="15.6" x14ac:dyDescent="0.3">
      <c r="A5" s="9">
        <v>4</v>
      </c>
      <c r="B5" s="5" t="s">
        <v>11</v>
      </c>
      <c r="C5">
        <v>54</v>
      </c>
      <c r="D5">
        <v>47</v>
      </c>
      <c r="E5" s="4">
        <v>407</v>
      </c>
      <c r="F5">
        <v>300</v>
      </c>
      <c r="G5">
        <v>5</v>
      </c>
      <c r="H5">
        <f t="shared" si="0"/>
        <v>135.66666666666666</v>
      </c>
      <c r="I5">
        <f t="shared" si="1"/>
        <v>9.6904761904761898</v>
      </c>
      <c r="J5">
        <f>Table2[[#This Row],[BALLS]]/(Table2[[#This Row],[SIXES]]+Table2[[#This Row],[FOURS]])</f>
        <v>4.838709677419355</v>
      </c>
      <c r="K5">
        <v>20</v>
      </c>
      <c r="L5">
        <v>42</v>
      </c>
      <c r="M5">
        <v>0</v>
      </c>
      <c r="N5" s="8" t="s">
        <v>48</v>
      </c>
    </row>
    <row r="6" spans="1:14" ht="15.6" x14ac:dyDescent="0.3">
      <c r="A6" s="7">
        <v>5</v>
      </c>
      <c r="B6" s="5" t="s">
        <v>14</v>
      </c>
      <c r="C6">
        <v>41</v>
      </c>
      <c r="D6">
        <v>33</v>
      </c>
      <c r="E6" s="4">
        <v>294</v>
      </c>
      <c r="F6">
        <v>235</v>
      </c>
      <c r="G6">
        <v>5</v>
      </c>
      <c r="H6">
        <f t="shared" si="0"/>
        <v>125.1063829787234</v>
      </c>
      <c r="I6">
        <f t="shared" si="1"/>
        <v>10.5</v>
      </c>
      <c r="J6">
        <f>Table2[[#This Row],[BALLS]]/(Table2[[#This Row],[SIXES]]+Table2[[#This Row],[FOURS]])</f>
        <v>5.5952380952380949</v>
      </c>
      <c r="K6">
        <v>13</v>
      </c>
      <c r="L6">
        <v>29</v>
      </c>
      <c r="M6">
        <v>0</v>
      </c>
      <c r="N6" s="8" t="s">
        <v>71</v>
      </c>
    </row>
    <row r="7" spans="1:14" ht="15.6" x14ac:dyDescent="0.3">
      <c r="A7" s="9">
        <v>6</v>
      </c>
      <c r="B7" s="5" t="s">
        <v>13</v>
      </c>
      <c r="C7">
        <v>41</v>
      </c>
      <c r="D7">
        <v>35</v>
      </c>
      <c r="E7" s="4">
        <v>273</v>
      </c>
      <c r="F7">
        <v>177</v>
      </c>
      <c r="G7">
        <v>4</v>
      </c>
      <c r="H7">
        <f t="shared" si="0"/>
        <v>154.23728813559322</v>
      </c>
      <c r="I7">
        <f t="shared" si="1"/>
        <v>8.806451612903226</v>
      </c>
      <c r="J7">
        <f>Table2[[#This Row],[BALLS]]/(Table2[[#This Row],[SIXES]]+Table2[[#This Row],[FOURS]])</f>
        <v>4.4249999999999998</v>
      </c>
      <c r="K7">
        <v>25</v>
      </c>
      <c r="L7">
        <v>15</v>
      </c>
      <c r="M7">
        <v>0</v>
      </c>
      <c r="N7" s="8" t="s">
        <v>55</v>
      </c>
    </row>
    <row r="8" spans="1:14" ht="15.6" x14ac:dyDescent="0.3">
      <c r="A8" s="7">
        <v>7</v>
      </c>
      <c r="B8" s="5" t="s">
        <v>10</v>
      </c>
      <c r="C8">
        <v>35</v>
      </c>
      <c r="D8">
        <v>25</v>
      </c>
      <c r="E8" s="4">
        <v>247</v>
      </c>
      <c r="F8">
        <v>159</v>
      </c>
      <c r="G8">
        <v>7</v>
      </c>
      <c r="H8">
        <f t="shared" si="0"/>
        <v>155.34591194968553</v>
      </c>
      <c r="I8">
        <f t="shared" si="1"/>
        <v>13.722222222222221</v>
      </c>
      <c r="J8">
        <f>Table2[[#This Row],[BALLS]]/(Table2[[#This Row],[SIXES]]+Table2[[#This Row],[FOURS]])</f>
        <v>4.1842105263157894</v>
      </c>
      <c r="K8">
        <v>17</v>
      </c>
      <c r="L8">
        <v>21</v>
      </c>
      <c r="M8">
        <v>0</v>
      </c>
      <c r="N8" s="8" t="s">
        <v>49</v>
      </c>
    </row>
    <row r="9" spans="1:14" ht="15.6" x14ac:dyDescent="0.3">
      <c r="A9" s="9">
        <v>8</v>
      </c>
      <c r="B9" s="5" t="s">
        <v>89</v>
      </c>
      <c r="C9">
        <v>82</v>
      </c>
      <c r="D9">
        <v>42</v>
      </c>
      <c r="E9" s="4">
        <v>234</v>
      </c>
      <c r="F9">
        <v>225</v>
      </c>
      <c r="G9">
        <v>15</v>
      </c>
      <c r="H9">
        <f t="shared" si="0"/>
        <v>104</v>
      </c>
      <c r="I9">
        <f t="shared" si="1"/>
        <v>8.6666666666666661</v>
      </c>
      <c r="J9">
        <f>Table2[[#This Row],[BALLS]]/(Table2[[#This Row],[SIXES]]+Table2[[#This Row],[FOURS]])</f>
        <v>7.03125</v>
      </c>
      <c r="K9">
        <v>8</v>
      </c>
      <c r="L9">
        <v>24</v>
      </c>
      <c r="M9">
        <v>0</v>
      </c>
      <c r="N9" s="8" t="s">
        <v>69</v>
      </c>
    </row>
    <row r="10" spans="1:14" ht="15.6" x14ac:dyDescent="0.3">
      <c r="A10" s="7">
        <v>9</v>
      </c>
      <c r="B10" s="5" t="s">
        <v>16</v>
      </c>
      <c r="C10">
        <v>42</v>
      </c>
      <c r="D10">
        <v>33</v>
      </c>
      <c r="E10" s="4">
        <v>225</v>
      </c>
      <c r="F10">
        <v>169</v>
      </c>
      <c r="G10">
        <v>6</v>
      </c>
      <c r="H10">
        <f t="shared" si="0"/>
        <v>133.1360946745562</v>
      </c>
      <c r="I10">
        <f t="shared" si="1"/>
        <v>8.3333333333333339</v>
      </c>
      <c r="J10">
        <f>Table2[[#This Row],[BALLS]]/(Table2[[#This Row],[SIXES]]+Table2[[#This Row],[FOURS]])</f>
        <v>4.9705882352941178</v>
      </c>
      <c r="K10">
        <v>18</v>
      </c>
      <c r="L10">
        <v>16</v>
      </c>
      <c r="M10">
        <v>0</v>
      </c>
      <c r="N10" s="8" t="s">
        <v>73</v>
      </c>
    </row>
    <row r="11" spans="1:14" ht="15.6" x14ac:dyDescent="0.3">
      <c r="A11" s="9">
        <v>10</v>
      </c>
      <c r="B11" s="5" t="s">
        <v>15</v>
      </c>
      <c r="C11">
        <v>36</v>
      </c>
      <c r="D11">
        <v>25</v>
      </c>
      <c r="E11" s="4">
        <v>169</v>
      </c>
      <c r="F11">
        <v>163</v>
      </c>
      <c r="G11">
        <v>12</v>
      </c>
      <c r="H11">
        <f t="shared" si="0"/>
        <v>103.68098159509202</v>
      </c>
      <c r="I11">
        <f t="shared" si="1"/>
        <v>13</v>
      </c>
      <c r="J11">
        <f>Table2[[#This Row],[BALLS]]/(Table2[[#This Row],[SIXES]]+Table2[[#This Row],[FOURS]])</f>
        <v>7.7619047619047619</v>
      </c>
      <c r="K11">
        <v>3</v>
      </c>
      <c r="L11">
        <v>18</v>
      </c>
      <c r="M11">
        <v>0</v>
      </c>
      <c r="N11" s="8" t="s">
        <v>79</v>
      </c>
    </row>
    <row r="12" spans="1:14" ht="15.6" x14ac:dyDescent="0.3">
      <c r="A12" s="7">
        <v>11</v>
      </c>
      <c r="B12" s="5" t="s">
        <v>47</v>
      </c>
      <c r="C12">
        <v>25</v>
      </c>
      <c r="D12">
        <v>17</v>
      </c>
      <c r="E12" s="4">
        <v>160</v>
      </c>
      <c r="F12">
        <v>126</v>
      </c>
      <c r="G12">
        <v>2</v>
      </c>
      <c r="H12">
        <f t="shared" si="0"/>
        <v>126.98412698412699</v>
      </c>
      <c r="I12">
        <f t="shared" si="1"/>
        <v>10.666666666666666</v>
      </c>
      <c r="J12">
        <f>Table2[[#This Row],[BALLS]]/(Table2[[#This Row],[SIXES]]+Table2[[#This Row],[FOURS]])</f>
        <v>6</v>
      </c>
      <c r="K12">
        <v>9</v>
      </c>
      <c r="L12">
        <v>12</v>
      </c>
      <c r="M12">
        <v>0</v>
      </c>
      <c r="N12" s="8" t="s">
        <v>53</v>
      </c>
    </row>
    <row r="13" spans="1:14" ht="15.6" x14ac:dyDescent="0.3">
      <c r="A13" s="9">
        <v>12</v>
      </c>
      <c r="B13" s="5" t="s">
        <v>20</v>
      </c>
      <c r="C13">
        <v>42</v>
      </c>
      <c r="D13">
        <v>17</v>
      </c>
      <c r="E13" s="4">
        <v>95</v>
      </c>
      <c r="F13">
        <v>87</v>
      </c>
      <c r="G13">
        <v>7</v>
      </c>
      <c r="H13">
        <f t="shared" si="0"/>
        <v>109.19540229885058</v>
      </c>
      <c r="I13">
        <f t="shared" si="1"/>
        <v>9.5</v>
      </c>
      <c r="J13">
        <f>Table2[[#This Row],[BALLS]]/(Table2[[#This Row],[SIXES]]+Table2[[#This Row],[FOURS]])</f>
        <v>7.9090909090909092</v>
      </c>
      <c r="K13">
        <v>0</v>
      </c>
      <c r="L13">
        <v>11</v>
      </c>
      <c r="M13">
        <v>0</v>
      </c>
      <c r="N13" s="8" t="s">
        <v>72</v>
      </c>
    </row>
    <row r="14" spans="1:14" ht="15.6" x14ac:dyDescent="0.3">
      <c r="A14" s="7">
        <v>13</v>
      </c>
      <c r="B14" s="5" t="s">
        <v>21</v>
      </c>
      <c r="C14">
        <v>31</v>
      </c>
      <c r="D14">
        <v>15</v>
      </c>
      <c r="E14" s="4">
        <v>66</v>
      </c>
      <c r="F14">
        <v>68</v>
      </c>
      <c r="G14">
        <v>7</v>
      </c>
      <c r="H14">
        <f t="shared" si="0"/>
        <v>97.058823529411768</v>
      </c>
      <c r="I14">
        <f t="shared" si="1"/>
        <v>8.25</v>
      </c>
      <c r="J14">
        <f>Table2[[#This Row],[BALLS]]/(Table2[[#This Row],[SIXES]]+Table2[[#This Row],[FOURS]])</f>
        <v>9.7142857142857135</v>
      </c>
      <c r="K14">
        <v>1</v>
      </c>
      <c r="L14">
        <v>6</v>
      </c>
      <c r="M14">
        <v>0</v>
      </c>
      <c r="N14" s="8" t="s">
        <v>80</v>
      </c>
    </row>
    <row r="15" spans="1:14" ht="15.6" x14ac:dyDescent="0.3">
      <c r="A15" s="9">
        <v>14</v>
      </c>
      <c r="B15" s="5" t="s">
        <v>18</v>
      </c>
      <c r="C15">
        <v>23</v>
      </c>
      <c r="D15">
        <v>15</v>
      </c>
      <c r="E15" s="4">
        <v>53</v>
      </c>
      <c r="F15">
        <v>61</v>
      </c>
      <c r="G15">
        <v>1</v>
      </c>
      <c r="H15">
        <f t="shared" si="0"/>
        <v>86.885245901639351</v>
      </c>
      <c r="I15">
        <f t="shared" si="1"/>
        <v>3.7857142857142856</v>
      </c>
      <c r="J15">
        <f>Table2[[#This Row],[BALLS]]/(Table2[[#This Row],[SIXES]]+Table2[[#This Row],[FOURS]])</f>
        <v>12.2</v>
      </c>
      <c r="K15">
        <v>0</v>
      </c>
      <c r="L15">
        <v>5</v>
      </c>
      <c r="M15">
        <v>0</v>
      </c>
      <c r="N15" s="8" t="s">
        <v>82</v>
      </c>
    </row>
    <row r="16" spans="1:14" ht="15.6" x14ac:dyDescent="0.3">
      <c r="A16" s="7">
        <v>15</v>
      </c>
      <c r="B16" s="5" t="s">
        <v>65</v>
      </c>
      <c r="C16">
        <v>21</v>
      </c>
      <c r="D16">
        <v>15</v>
      </c>
      <c r="E16" s="4">
        <v>52</v>
      </c>
      <c r="F16">
        <v>56</v>
      </c>
      <c r="G16">
        <v>3</v>
      </c>
      <c r="H16">
        <f t="shared" si="0"/>
        <v>92.857142857142861</v>
      </c>
      <c r="I16">
        <f t="shared" si="1"/>
        <v>4.333333333333333</v>
      </c>
      <c r="J16">
        <f>Table2[[#This Row],[BALLS]]/(Table2[[#This Row],[SIXES]]+Table2[[#This Row],[FOURS]])</f>
        <v>11.2</v>
      </c>
      <c r="K16">
        <v>1</v>
      </c>
      <c r="L16">
        <v>4</v>
      </c>
      <c r="M16">
        <v>0</v>
      </c>
      <c r="N16" s="8" t="s">
        <v>86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87.719298245614041</v>
      </c>
      <c r="I17">
        <f t="shared" si="1"/>
        <v>7.1428571428571432</v>
      </c>
      <c r="J17">
        <f>Table2[[#This Row],[BALLS]]/(Table2[[#This Row],[SIXES]]+Table2[[#This Row],[FOURS]])</f>
        <v>5.7</v>
      </c>
      <c r="K17">
        <v>2</v>
      </c>
      <c r="L17">
        <v>8</v>
      </c>
      <c r="M17">
        <v>0</v>
      </c>
      <c r="N17" s="8" t="s">
        <v>51</v>
      </c>
    </row>
    <row r="18" spans="1:14" ht="15.6" x14ac:dyDescent="0.3">
      <c r="A18" s="7">
        <v>17</v>
      </c>
      <c r="B18" s="5" t="s">
        <v>25</v>
      </c>
      <c r="C18">
        <v>5</v>
      </c>
      <c r="D18">
        <v>4</v>
      </c>
      <c r="E18" s="4">
        <v>38</v>
      </c>
      <c r="F18">
        <v>40</v>
      </c>
      <c r="G18">
        <v>2</v>
      </c>
      <c r="H18">
        <f t="shared" si="0"/>
        <v>95</v>
      </c>
      <c r="I18">
        <f t="shared" si="1"/>
        <v>19</v>
      </c>
      <c r="J18">
        <f>Table2[[#This Row],[BALLS]]/(Table2[[#This Row],[SIXES]]+Table2[[#This Row],[FOURS]])</f>
        <v>10</v>
      </c>
      <c r="K18">
        <v>1</v>
      </c>
      <c r="L18">
        <v>3</v>
      </c>
      <c r="M18">
        <v>0</v>
      </c>
      <c r="N18" s="8" t="s">
        <v>59</v>
      </c>
    </row>
    <row r="19" spans="1:14" ht="15.6" x14ac:dyDescent="0.3">
      <c r="A19" s="9">
        <v>18</v>
      </c>
      <c r="B19" s="5" t="s">
        <v>19</v>
      </c>
      <c r="C19">
        <v>19</v>
      </c>
      <c r="D19">
        <v>12</v>
      </c>
      <c r="E19" s="4">
        <v>38</v>
      </c>
      <c r="F19">
        <v>43</v>
      </c>
      <c r="G19">
        <v>4</v>
      </c>
      <c r="H19">
        <f t="shared" si="0"/>
        <v>88.372093023255815</v>
      </c>
      <c r="I19">
        <f t="shared" si="1"/>
        <v>4.75</v>
      </c>
      <c r="J19">
        <f>Table2[[#This Row],[BALLS]]/(Table2[[#This Row],[SIXES]]+Table2[[#This Row],[FOURS]])</f>
        <v>8.6</v>
      </c>
      <c r="K19">
        <v>1</v>
      </c>
      <c r="L19">
        <v>4</v>
      </c>
      <c r="M19">
        <v>0</v>
      </c>
      <c r="N19" s="8" t="s">
        <v>83</v>
      </c>
    </row>
    <row r="20" spans="1:14" ht="15.6" x14ac:dyDescent="0.3">
      <c r="A20" s="7">
        <v>19</v>
      </c>
      <c r="B20" s="5" t="s">
        <v>22</v>
      </c>
      <c r="C20">
        <v>16</v>
      </c>
      <c r="D20">
        <v>8</v>
      </c>
      <c r="E20" s="4">
        <v>35</v>
      </c>
      <c r="F20">
        <v>43</v>
      </c>
      <c r="G20">
        <v>2</v>
      </c>
      <c r="H20">
        <f t="shared" si="0"/>
        <v>81.395348837209298</v>
      </c>
      <c r="I20">
        <f t="shared" si="1"/>
        <v>5.833333333333333</v>
      </c>
      <c r="J20">
        <f>Table2[[#This Row],[BALLS]]/(Table2[[#This Row],[SIXES]]+Table2[[#This Row],[FOURS]])</f>
        <v>21.5</v>
      </c>
      <c r="K20">
        <v>0</v>
      </c>
      <c r="L20">
        <v>2</v>
      </c>
      <c r="M20">
        <v>0</v>
      </c>
      <c r="N20" s="8" t="s">
        <v>76</v>
      </c>
    </row>
    <row r="21" spans="1:14" ht="15.6" x14ac:dyDescent="0.3">
      <c r="A21" s="9">
        <v>20</v>
      </c>
      <c r="B21" s="5" t="s">
        <v>23</v>
      </c>
      <c r="C21">
        <v>11</v>
      </c>
      <c r="D21">
        <v>4</v>
      </c>
      <c r="E21" s="4">
        <v>28</v>
      </c>
      <c r="F21">
        <v>39</v>
      </c>
      <c r="G21">
        <v>1</v>
      </c>
      <c r="H21">
        <f t="shared" si="0"/>
        <v>71.794871794871796</v>
      </c>
      <c r="I21">
        <f t="shared" si="1"/>
        <v>9.3333333333333339</v>
      </c>
      <c r="J21">
        <f>Table2[[#This Row],[BALLS]]/(Table2[[#This Row],[SIXES]]+Table2[[#This Row],[FOURS]])</f>
        <v>39</v>
      </c>
      <c r="K21">
        <v>0</v>
      </c>
      <c r="L21">
        <v>1</v>
      </c>
      <c r="M21">
        <v>0</v>
      </c>
      <c r="N21" s="8" t="s">
        <v>78</v>
      </c>
    </row>
    <row r="22" spans="1:14" ht="15.6" x14ac:dyDescent="0.3">
      <c r="A22" s="7">
        <v>21</v>
      </c>
      <c r="B22" s="5" t="s">
        <v>57</v>
      </c>
      <c r="C22">
        <v>5</v>
      </c>
      <c r="D22">
        <v>2</v>
      </c>
      <c r="E22" s="4">
        <v>17</v>
      </c>
      <c r="F22">
        <v>14</v>
      </c>
      <c r="G22">
        <v>0</v>
      </c>
      <c r="H22">
        <f t="shared" si="0"/>
        <v>121.42857142857143</v>
      </c>
      <c r="I22">
        <f t="shared" si="1"/>
        <v>8.5</v>
      </c>
      <c r="J22">
        <f>Table2[[#This Row],[BALLS]]/(Table2[[#This Row],[SIXES]]+Table2[[#This Row],[FOURS]])</f>
        <v>4.666666666666667</v>
      </c>
      <c r="K22">
        <v>0</v>
      </c>
      <c r="L22">
        <v>3</v>
      </c>
      <c r="M22">
        <v>0</v>
      </c>
      <c r="N22" s="8" t="s">
        <v>58</v>
      </c>
    </row>
    <row r="23" spans="1:14" ht="15.6" x14ac:dyDescent="0.3">
      <c r="A23" s="9">
        <v>22</v>
      </c>
      <c r="B23" s="5" t="s">
        <v>17</v>
      </c>
      <c r="C23">
        <v>8</v>
      </c>
      <c r="D23">
        <v>5</v>
      </c>
      <c r="E23" s="4">
        <v>16</v>
      </c>
      <c r="F23">
        <v>22</v>
      </c>
      <c r="G23">
        <v>2</v>
      </c>
      <c r="H23">
        <f t="shared" si="0"/>
        <v>72.727272727272734</v>
      </c>
      <c r="I23">
        <f t="shared" si="1"/>
        <v>5.333333333333333</v>
      </c>
      <c r="J23">
        <f>Table2[[#This Row],[BALLS]]/(Table2[[#This Row],[SIXES]]+Table2[[#This Row],[FOURS]])</f>
        <v>22</v>
      </c>
      <c r="K23">
        <v>0</v>
      </c>
      <c r="L23">
        <v>1</v>
      </c>
      <c r="M23">
        <v>0</v>
      </c>
      <c r="N23" s="8" t="s">
        <v>46</v>
      </c>
    </row>
    <row r="24" spans="1:14" ht="15.6" x14ac:dyDescent="0.3">
      <c r="A24" s="7">
        <v>23</v>
      </c>
      <c r="B24" s="5" t="s">
        <v>56</v>
      </c>
      <c r="C24">
        <v>8</v>
      </c>
      <c r="D24">
        <v>5</v>
      </c>
      <c r="E24" s="4">
        <v>15</v>
      </c>
      <c r="F24">
        <v>32</v>
      </c>
      <c r="G24">
        <v>2</v>
      </c>
      <c r="H24">
        <f t="shared" si="0"/>
        <v>46.875</v>
      </c>
      <c r="I24">
        <f t="shared" si="1"/>
        <v>5</v>
      </c>
      <c r="J24">
        <f>Table2[[#This Row],[BALLS]]/(Table2[[#This Row],[SIXES]]+Table2[[#This Row],[FOURS]])</f>
        <v>32</v>
      </c>
      <c r="K24">
        <v>0</v>
      </c>
      <c r="L24">
        <v>1</v>
      </c>
      <c r="M24">
        <v>0</v>
      </c>
      <c r="N24" s="8" t="s">
        <v>68</v>
      </c>
    </row>
    <row r="25" spans="1:14" ht="15.6" x14ac:dyDescent="0.3">
      <c r="A25" s="9">
        <v>24</v>
      </c>
      <c r="B25" s="5" t="s">
        <v>70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 t="shared" si="0"/>
        <v>100</v>
      </c>
      <c r="I25">
        <f t="shared" si="1"/>
        <v>3</v>
      </c>
      <c r="J25">
        <f>Table2[[#This Row],[BALLS]]/(Table2[[#This Row],[SIXES]]+Table2[[#This Row],[FOURS]])</f>
        <v>9</v>
      </c>
      <c r="K25">
        <v>1</v>
      </c>
      <c r="L25">
        <v>0</v>
      </c>
      <c r="M25">
        <v>0</v>
      </c>
      <c r="N25" s="8" t="s">
        <v>61</v>
      </c>
    </row>
    <row r="26" spans="1:14" ht="15.6" x14ac:dyDescent="0.3">
      <c r="A26" s="7">
        <v>25</v>
      </c>
      <c r="B26" s="5" t="s">
        <v>42</v>
      </c>
      <c r="C26">
        <v>4</v>
      </c>
      <c r="D26">
        <v>4</v>
      </c>
      <c r="E26" s="4">
        <v>8</v>
      </c>
      <c r="F26">
        <v>11</v>
      </c>
      <c r="G26">
        <v>2</v>
      </c>
      <c r="H26">
        <f t="shared" si="0"/>
        <v>72.727272727272734</v>
      </c>
      <c r="I26">
        <f t="shared" si="1"/>
        <v>4</v>
      </c>
      <c r="J26">
        <f>Table2[[#This Row],[BALLS]]/(Table2[[#This Row],[SIXES]]+Table2[[#This Row],[FOURS]])</f>
        <v>11</v>
      </c>
      <c r="K26">
        <v>0</v>
      </c>
      <c r="L26">
        <v>1</v>
      </c>
      <c r="M26">
        <v>0</v>
      </c>
      <c r="N26" s="8" t="s">
        <v>52</v>
      </c>
    </row>
    <row r="27" spans="1:14" ht="15.6" x14ac:dyDescent="0.3">
      <c r="A27" s="9">
        <v>26</v>
      </c>
      <c r="B27" s="5" t="s">
        <v>24</v>
      </c>
      <c r="C27">
        <v>8</v>
      </c>
      <c r="D27">
        <v>2</v>
      </c>
      <c r="E27" s="4">
        <v>8</v>
      </c>
      <c r="F27">
        <v>14</v>
      </c>
      <c r="G27">
        <v>1</v>
      </c>
      <c r="H27">
        <f t="shared" si="0"/>
        <v>57.142857142857146</v>
      </c>
      <c r="I27">
        <f t="shared" si="1"/>
        <v>8</v>
      </c>
      <c r="J27">
        <f>Table2[[#This Row],[BALLS]]/(Table2[[#This Row],[SIXES]]+Table2[[#This Row],[FOURS]])</f>
        <v>14</v>
      </c>
      <c r="K27">
        <v>0</v>
      </c>
      <c r="L27">
        <v>1</v>
      </c>
      <c r="M27">
        <v>0</v>
      </c>
      <c r="N27" s="8" t="s">
        <v>77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 t="shared" si="0"/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60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4"/>
  <sheetViews>
    <sheetView zoomScale="167" zoomScaleNormal="167" workbookViewId="0">
      <selection activeCell="A2" sqref="A2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88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82</v>
      </c>
      <c r="D2">
        <v>132.30000000000001</v>
      </c>
      <c r="E2" s="4">
        <v>88</v>
      </c>
      <c r="F2">
        <v>1309</v>
      </c>
      <c r="G2">
        <f t="shared" ref="G2:G14" si="0">F2*6 / (INT(D2)*6 + MOD(D2,1)*10)</f>
        <v>9.8792452830188662</v>
      </c>
      <c r="H2">
        <f t="shared" ref="H2:H13" si="1">F2/E2</f>
        <v>14.875</v>
      </c>
      <c r="I2">
        <f t="shared" ref="I2:I14" si="2">IF(E2=0,"-", (INT(D2)*6 + MOD(D2,1)*10) / E2)</f>
        <v>9.0340909090909101</v>
      </c>
      <c r="J2">
        <v>9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62</v>
      </c>
      <c r="D3">
        <v>112.4</v>
      </c>
      <c r="E3" s="4">
        <v>66</v>
      </c>
      <c r="F3">
        <v>1249</v>
      </c>
      <c r="G3">
        <f t="shared" si="0"/>
        <v>11.085798816568047</v>
      </c>
      <c r="H3">
        <f t="shared" si="1"/>
        <v>18.924242424242426</v>
      </c>
      <c r="I3">
        <f t="shared" si="2"/>
        <v>10.242424242424242</v>
      </c>
      <c r="J3">
        <v>8</v>
      </c>
      <c r="K3">
        <v>0</v>
      </c>
      <c r="L3" t="s">
        <v>67</v>
      </c>
    </row>
    <row r="4" spans="1:12" ht="15.6" x14ac:dyDescent="0.3">
      <c r="A4" s="7">
        <v>3</v>
      </c>
      <c r="B4" s="5" t="s">
        <v>36</v>
      </c>
      <c r="C4">
        <v>48</v>
      </c>
      <c r="D4">
        <v>85.2</v>
      </c>
      <c r="E4" s="4">
        <v>56</v>
      </c>
      <c r="F4">
        <v>878</v>
      </c>
      <c r="G4">
        <f t="shared" si="0"/>
        <v>10.2890625</v>
      </c>
      <c r="H4">
        <f t="shared" si="1"/>
        <v>15.678571428571429</v>
      </c>
      <c r="I4">
        <f t="shared" si="2"/>
        <v>9.1428571428571423</v>
      </c>
      <c r="J4">
        <v>3</v>
      </c>
      <c r="K4">
        <v>0</v>
      </c>
      <c r="L4" t="s">
        <v>85</v>
      </c>
    </row>
    <row r="5" spans="1:12" ht="15.6" x14ac:dyDescent="0.3">
      <c r="A5">
        <v>4</v>
      </c>
      <c r="B5" s="5" t="s">
        <v>14</v>
      </c>
      <c r="C5">
        <v>41</v>
      </c>
      <c r="D5">
        <v>72.3</v>
      </c>
      <c r="E5" s="4">
        <v>47</v>
      </c>
      <c r="F5">
        <v>744</v>
      </c>
      <c r="G5">
        <f t="shared" si="0"/>
        <v>10.262068965517241</v>
      </c>
      <c r="H5">
        <f t="shared" si="1"/>
        <v>15.829787234042554</v>
      </c>
      <c r="I5">
        <f t="shared" si="2"/>
        <v>9.2553191489361701</v>
      </c>
      <c r="J5">
        <v>7</v>
      </c>
      <c r="K5">
        <v>0</v>
      </c>
      <c r="L5" t="s">
        <v>75</v>
      </c>
    </row>
    <row r="6" spans="1:12" ht="15.6" x14ac:dyDescent="0.3">
      <c r="A6" s="7">
        <v>5</v>
      </c>
      <c r="B6" s="5" t="s">
        <v>9</v>
      </c>
      <c r="C6">
        <v>63</v>
      </c>
      <c r="D6">
        <v>55.4</v>
      </c>
      <c r="E6" s="4">
        <v>40</v>
      </c>
      <c r="F6">
        <v>536</v>
      </c>
      <c r="G6">
        <f t="shared" si="0"/>
        <v>9.6287425149700603</v>
      </c>
      <c r="H6">
        <f t="shared" si="1"/>
        <v>13.4</v>
      </c>
      <c r="I6">
        <f t="shared" si="2"/>
        <v>8.35</v>
      </c>
      <c r="J6">
        <v>3</v>
      </c>
      <c r="K6">
        <v>0</v>
      </c>
      <c r="L6" t="s">
        <v>84</v>
      </c>
    </row>
    <row r="7" spans="1:12" ht="15.6" x14ac:dyDescent="0.3">
      <c r="A7">
        <v>6</v>
      </c>
      <c r="B7" s="5" t="s">
        <v>20</v>
      </c>
      <c r="C7">
        <v>42</v>
      </c>
      <c r="D7">
        <v>40.4</v>
      </c>
      <c r="E7" s="4">
        <v>23</v>
      </c>
      <c r="F7">
        <v>379</v>
      </c>
      <c r="G7">
        <f t="shared" si="0"/>
        <v>9.3196721311475414</v>
      </c>
      <c r="H7">
        <f t="shared" si="1"/>
        <v>16.478260869565219</v>
      </c>
      <c r="I7">
        <f t="shared" si="2"/>
        <v>10.608695652173912</v>
      </c>
      <c r="J7">
        <v>2</v>
      </c>
      <c r="K7">
        <v>0</v>
      </c>
      <c r="L7" t="s">
        <v>64</v>
      </c>
    </row>
    <row r="8" spans="1:12" ht="15.6" x14ac:dyDescent="0.3">
      <c r="A8" s="7">
        <v>7</v>
      </c>
      <c r="B8" s="5" t="s">
        <v>18</v>
      </c>
      <c r="C8">
        <v>24</v>
      </c>
      <c r="D8">
        <v>31.3</v>
      </c>
      <c r="E8" s="4">
        <v>21</v>
      </c>
      <c r="F8">
        <v>292</v>
      </c>
      <c r="G8">
        <f t="shared" si="0"/>
        <v>9.2698412698412707</v>
      </c>
      <c r="H8">
        <f t="shared" si="1"/>
        <v>13.904761904761905</v>
      </c>
      <c r="I8">
        <f t="shared" si="2"/>
        <v>9</v>
      </c>
      <c r="J8">
        <v>2</v>
      </c>
      <c r="K8">
        <v>0</v>
      </c>
      <c r="L8" t="s">
        <v>41</v>
      </c>
    </row>
    <row r="9" spans="1:12" ht="15.6" x14ac:dyDescent="0.3">
      <c r="A9">
        <v>8</v>
      </c>
      <c r="B9" s="5" t="s">
        <v>21</v>
      </c>
      <c r="C9">
        <v>31</v>
      </c>
      <c r="D9">
        <v>27.1</v>
      </c>
      <c r="E9" s="4">
        <v>19</v>
      </c>
      <c r="F9">
        <v>250</v>
      </c>
      <c r="G9">
        <f t="shared" si="0"/>
        <v>9.2024539877300615</v>
      </c>
      <c r="H9">
        <f t="shared" si="1"/>
        <v>13.157894736842104</v>
      </c>
      <c r="I9">
        <f t="shared" si="2"/>
        <v>8.5789473684210531</v>
      </c>
      <c r="J9">
        <v>1</v>
      </c>
      <c r="K9">
        <v>0</v>
      </c>
      <c r="L9" t="s">
        <v>44</v>
      </c>
    </row>
    <row r="10" spans="1:12" ht="15.6" x14ac:dyDescent="0.3">
      <c r="A10" s="7">
        <v>9</v>
      </c>
      <c r="B10" s="5" t="s">
        <v>65</v>
      </c>
      <c r="C10">
        <v>21</v>
      </c>
      <c r="D10">
        <v>28</v>
      </c>
      <c r="E10" s="4">
        <v>17</v>
      </c>
      <c r="F10">
        <v>224</v>
      </c>
      <c r="G10">
        <f t="shared" si="0"/>
        <v>8</v>
      </c>
      <c r="H10">
        <f t="shared" si="1"/>
        <v>13.176470588235293</v>
      </c>
      <c r="I10">
        <f t="shared" si="2"/>
        <v>9.882352941176471</v>
      </c>
      <c r="J10">
        <v>1</v>
      </c>
      <c r="K10">
        <v>0</v>
      </c>
      <c r="L10" t="s">
        <v>87</v>
      </c>
    </row>
    <row r="11" spans="1:12" ht="15.6" x14ac:dyDescent="0.3">
      <c r="A11">
        <v>10</v>
      </c>
      <c r="B11" s="5" t="s">
        <v>22</v>
      </c>
      <c r="C11">
        <v>16</v>
      </c>
      <c r="D11">
        <v>14.2</v>
      </c>
      <c r="E11" s="4">
        <v>11</v>
      </c>
      <c r="F11">
        <v>132</v>
      </c>
      <c r="G11">
        <f t="shared" si="0"/>
        <v>9.2093023255813957</v>
      </c>
      <c r="H11">
        <f t="shared" si="1"/>
        <v>12</v>
      </c>
      <c r="I11">
        <f t="shared" si="2"/>
        <v>7.8181818181818183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35</v>
      </c>
      <c r="D12">
        <v>6</v>
      </c>
      <c r="E12" s="4">
        <v>3</v>
      </c>
      <c r="F12">
        <v>73</v>
      </c>
      <c r="G12">
        <f t="shared" si="0"/>
        <v>12.166666666666666</v>
      </c>
      <c r="H12">
        <f t="shared" si="1"/>
        <v>24.333333333333332</v>
      </c>
      <c r="I12">
        <f t="shared" si="2"/>
        <v>12</v>
      </c>
      <c r="J12">
        <v>0</v>
      </c>
      <c r="K12">
        <v>0</v>
      </c>
      <c r="L12" s="1" t="s">
        <v>81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14.333333333333334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13</v>
      </c>
      <c r="C14">
        <v>41</v>
      </c>
      <c r="D14">
        <v>2</v>
      </c>
      <c r="E14" s="4">
        <v>0</v>
      </c>
      <c r="F14">
        <v>23</v>
      </c>
      <c r="G14">
        <f t="shared" si="0"/>
        <v>11.5</v>
      </c>
      <c r="H14" t="s">
        <v>63</v>
      </c>
      <c r="I14" t="str">
        <f t="shared" si="2"/>
        <v>-</v>
      </c>
      <c r="J14">
        <v>0</v>
      </c>
      <c r="K14">
        <v>0</v>
      </c>
      <c r="L14" t="s">
        <v>39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BATTING</vt:lpstr>
      <vt:lpstr>BOWLING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2026-06-03T04:49:14Z</dcterms:modified>
</cp:coreProperties>
</file>