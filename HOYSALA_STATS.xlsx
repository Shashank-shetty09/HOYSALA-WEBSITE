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9590D676-E85B-4853-98A5-EE63D2526214}" xr6:coauthVersionLast="47" xr6:coauthVersionMax="47" xr10:uidLastSave="{00000000-0000-0000-0000-000000000000}"/>
  <bookViews>
    <workbookView xWindow="-108" yWindow="-108" windowWidth="23256" windowHeight="13176" activeTab="2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D8" i="4"/>
  <c r="C8" i="4"/>
  <c r="B8" i="4"/>
  <c r="C2" i="4"/>
  <c r="D2" i="4"/>
  <c r="B2" i="4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I2" i="2"/>
  <c r="I3" i="2"/>
  <c r="I4" i="2"/>
  <c r="I5" i="2"/>
  <c r="I6" i="2"/>
  <c r="I7" i="2"/>
  <c r="I8" i="2"/>
  <c r="I9" i="2"/>
  <c r="I10" i="2"/>
  <c r="I11" i="2"/>
  <c r="I12" i="2"/>
  <c r="I13" i="2"/>
  <c r="I14" i="2"/>
  <c r="H2" i="2"/>
  <c r="H4" i="2"/>
  <c r="H5" i="2"/>
  <c r="H6" i="2"/>
  <c r="H7" i="2"/>
  <c r="H8" i="2"/>
  <c r="H9" i="2"/>
  <c r="H10" i="2"/>
  <c r="H11" i="2"/>
  <c r="H12" i="2"/>
  <c r="H13" i="2"/>
  <c r="H14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I15" i="2" l="1"/>
  <c r="G15" i="2"/>
</calcChain>
</file>

<file path=xl/sharedStrings.xml><?xml version="1.0" encoding="utf-8"?>
<sst xmlns="http://schemas.openxmlformats.org/spreadsheetml/2006/main" count="144" uniqueCount="107">
  <si>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</si>
  <si>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</si>
  <si>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</si>
  <si>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</si>
  <si>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</si>
  <si>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</si>
  <si>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</si>
  <si>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</si>
  <si>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</si>
  <si>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</si>
  <si>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</si>
  <si>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</si>
  <si>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</si>
  <si>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</si>
  <si>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</si>
  <si>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</si>
  <si>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</si>
  <si>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GAUTHAM</t>
  </si>
  <si>
    <t>TUSHAR</t>
  </si>
  <si>
    <t>VIVEK</t>
  </si>
  <si>
    <t>JEEVAN</t>
  </si>
  <si>
    <t>MANOJ</t>
  </si>
  <si>
    <t>SUPREETH</t>
  </si>
  <si>
    <t>CHETHAN</t>
  </si>
  <si>
    <t>SHANMUKHA</t>
  </si>
  <si>
    <t>VITTAL</t>
  </si>
  <si>
    <t>MANJU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</si>
  <si>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</si>
  <si>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</si>
  <si>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</si>
  <si>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</si>
  <si>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</si>
  <si>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</si>
  <si>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</si>
  <si>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</si>
  <si>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</si>
  <si>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</si>
  <si>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</si>
  <si>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</si>
  <si>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</si>
  <si>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</si>
  <si>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</si>
  <si>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ADARSH</t>
  </si>
  <si>
    <t>3-0-11-5</t>
  </si>
  <si>
    <t>1.1-0-8-3</t>
  </si>
  <si>
    <t>BALLS</t>
  </si>
  <si>
    <t>14(13)</t>
  </si>
  <si>
    <t>SHIVRAJ</t>
  </si>
  <si>
    <t>32(20)</t>
  </si>
  <si>
    <t>47(23)</t>
  </si>
  <si>
    <t>76(23)</t>
  </si>
  <si>
    <t>37(12)</t>
  </si>
  <si>
    <t>4(4)</t>
  </si>
  <si>
    <t>27(13)</t>
  </si>
  <si>
    <t>61(30)</t>
  </si>
  <si>
    <t>34(15)</t>
  </si>
  <si>
    <t>SAGAR</t>
  </si>
  <si>
    <t>ABHISHEK</t>
  </si>
  <si>
    <t>13(8)</t>
  </si>
  <si>
    <t>29(22)</t>
  </si>
  <si>
    <t>1(4)*</t>
  </si>
  <si>
    <t>6(1)*</t>
  </si>
  <si>
    <t>50</t>
  </si>
  <si>
    <t>1-0-1-3</t>
  </si>
  <si>
    <t>NITIN</t>
  </si>
  <si>
    <t>3-0-27-4</t>
  </si>
  <si>
    <t>6(6)</t>
  </si>
  <si>
    <t>25(20)*</t>
  </si>
  <si>
    <t>VANSH</t>
  </si>
  <si>
    <t>33(17)</t>
  </si>
  <si>
    <t>18(13)</t>
  </si>
  <si>
    <t>41(22)*</t>
  </si>
  <si>
    <t>Balls/bdry</t>
  </si>
  <si>
    <t>2-0-23-4</t>
  </si>
  <si>
    <t>10(15)</t>
  </si>
  <si>
    <t>5(7)*</t>
  </si>
  <si>
    <t>21(28)*</t>
  </si>
  <si>
    <t>41(28)*</t>
  </si>
  <si>
    <t>1-0-10-1</t>
  </si>
  <si>
    <t>15(15)</t>
  </si>
  <si>
    <t>7(6)*</t>
  </si>
  <si>
    <t>1-0-6-3</t>
  </si>
  <si>
    <t>2-0-28-4</t>
  </si>
  <si>
    <t>3-0-19-4</t>
  </si>
  <si>
    <t>RANK</t>
  </si>
  <si>
    <t>0.3-0-0-1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</si>
  <si>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</si>
  <si>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</si>
  <si>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</si>
  <si>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</si>
  <si>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</si>
  <si>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</si>
  <si>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</si>
  <si>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</si>
  <si>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</si>
  <si>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</si>
  <si>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</si>
  <si>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</si>
  <si>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</si>
  <si>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</si>
  <si>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</si>
  <si>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</si>
  <si>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</si>
  <si>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</si>
  <si>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</si>
  <si>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</si>
  <si>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84(27)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</si>
</sst>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</cellXfs>
  <cellStyles count="1">
    <cellStyle name="Normal" xfId="0" builtinId="0"/>
  </cellStyles>
  <dxfs count="18"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numFmt numFmtId="164" formatCode="0.0000"/>
    </dxf>
    <dxf>
      <numFmt numFmtId="164" formatCode="0.000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BE6964-BD1D-4237-A8DF-EF8ED338E98A}" name="Table2" displayName="Table2" ref="B1:N28" totalsRowShown="0" headerRowDxfId="17">
  <autoFilter ref="B1:N28" xr:uid="{7BBE6964-BD1D-4237-A8DF-EF8ED338E98A}"/>
  <sortState xmlns:xlrd2="http://schemas.microsoft.com/office/spreadsheetml/2017/richdata2" ref="B2:N28">
    <sortCondition descending="1" ref="E1:E28"/>
  </sortState>
  <tableColumns count="13">
    <tableColumn id="1" xr3:uid="{E7944DB0-6A7F-42AE-8059-ECF3D263A4D7}" name="BATSMAN" dataDxfId="16" totalsRowDxfId="15"/>
    <tableColumn id="2" xr3:uid="{80748AF9-E334-4123-89FF-4BC587690FE6}" name="MATCHES"/>
    <tableColumn id="3" xr3:uid="{569C1087-46BE-49F5-9386-B1AC49620653}" name="INNINGS"/>
    <tableColumn id="4" xr3:uid="{243E0563-7066-4B0D-8875-3C822D7A6ABC}" name="RUNS" dataDxfId="14" totalsRowDxfId="13"/>
    <tableColumn id="5" xr3:uid="{6E0A28CA-3C6E-4D65-B94D-17D5EEF6C90F}" name="BALLS"/>
    <tableColumn id="6" xr3:uid="{532CDF61-F673-4D75-AB97-B40B7FC39E60}" name="NOT OUTS"/>
    <tableColumn id="7" xr3:uid="{5B901B53-6E69-48F5-BB71-65021AACFF8B}" name="STRIKERATE" dataDxfId="12">
      <calculatedColumnFormula>ROUND((E2*100)/F2,4)</calculatedColumnFormula>
    </tableColumn>
    <tableColumn id="8" xr3:uid="{5F02881E-B2E7-4759-8D2E-C1EF3BA1E1F3}" name="AVERAGE" dataDxfId="11"/>
    <tableColumn id="13" xr3:uid="{BCA71AD4-54A7-443B-A838-54034AD54467}" name="Balls/bdry" dataDxfId="10">
      <calculatedColumnFormula>Table2[[#This Row],[BALLS]]/(Table2[[#This Row],[SIXES]]+Table2[[#This Row],[FOURS]])</calculatedColumnFormula>
    </tableColumn>
    <tableColumn id="9" xr3:uid="{0A4AE5FF-42D9-4E97-9CDC-67C1D9F34AE9}" name="SIXES"/>
    <tableColumn id="10" xr3:uid="{047DBA7D-6CD2-490B-8725-C2F5EC4F6BDE}" name="FOURS"/>
    <tableColumn id="11" xr3:uid="{DB1F6BD9-3C83-4AB7-BDBB-A1F14E02C697}" name="50"/>
    <tableColumn id="12" xr3:uid="{1DDC88F8-2E59-4F78-9C45-88A55B04F5B7}" name="BEST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5213E7-163F-4BDF-A3A6-7F45DEBD27FC}" name="Table3" displayName="Table3" ref="B1:L14" totalsRowShown="0" headerRowDxfId="8">
  <autoFilter ref="B1:L14" xr:uid="{BF5213E7-163F-4BDF-A3A6-7F45DEBD27FC}"/>
  <sortState xmlns:xlrd2="http://schemas.microsoft.com/office/spreadsheetml/2017/richdata2" ref="B2:L14">
    <sortCondition descending="1" ref="E1:E14"/>
  </sortState>
  <tableColumns count="11">
    <tableColumn id="1" xr3:uid="{ED02EB8F-2D91-4BA1-B84B-4B7B449813BC}" name="BOWLER" dataDxfId="7" totalsRowDxfId="6"/>
    <tableColumn id="2" xr3:uid="{ED183527-D378-46C8-A162-34448CE167A6}" name="MATCHES"/>
    <tableColumn id="3" xr3:uid="{A53B8CFF-467E-4019-86DE-3327DD567ABC}" name="OVERS"/>
    <tableColumn id="5" xr3:uid="{5F474394-13BD-4ECA-882C-674F9813D9FE}" name="WICKETS" dataDxfId="5" totalsRowDxfId="4"/>
    <tableColumn id="6" xr3:uid="{78732338-1160-422B-8D40-E1F815772DA1}" name="RUNS"/>
    <tableColumn id="7" xr3:uid="{9F0D0498-C0F7-43D2-9135-3EAA10649D67}" name="ECONOMY" dataDxfId="3">
      <calculatedColumnFormula>ROUND(F2*6 / (INT(D2)*6 + MOD(D2,1)*10),4)</calculatedColumnFormula>
    </tableColumn>
    <tableColumn id="8" xr3:uid="{B3F0C065-6F2B-4140-A897-DAD553790118}" name="AVERAGE" dataDxfId="2">
      <calculatedColumnFormula>ROUND(F2/E2,4)</calculatedColumnFormula>
    </tableColumn>
    <tableColumn id="9" xr3:uid="{1F27FD5E-4689-4443-93EE-6E18C4F92100}" name="STRIKE RATE" dataDxfId="1">
      <calculatedColumnFormula>ROUND(IF(E2=0,"-", (INT(D2)*6 + MOD(D2,1)*10) / E2),4)</calculatedColumnFormula>
    </tableColumn>
    <tableColumn id="10" xr3:uid="{42AE4F87-E59E-4C64-A0DF-748A126E590A}" name="3-W"/>
    <tableColumn id="11" xr3:uid="{9183351A-B196-41D2-A811-A968A8830BEC}" name="5-W"/>
    <tableColumn id="12" xr3:uid="{082218BF-46DC-4FF2-95FB-2EBDD2DF078A}" name="BEST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N28"/>
  <sheetViews>
    <sheetView zoomScale="90" zoomScaleNormal="90" workbookViewId="0">
      <selection activeCell="H10" sqref="H10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4" ht="17.399999999999999" x14ac:dyDescent="0.35">
      <c r="A1" s="6" t="s">
        <v>84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45</v>
      </c>
      <c r="G1" s="2" t="s">
        <v>28</v>
      </c>
      <c r="H1" s="2" t="s">
        <v>4</v>
      </c>
      <c r="I1" s="2" t="s">
        <v>5</v>
      </c>
      <c r="J1" s="2" t="s">
        <v>72</v>
      </c>
      <c r="K1" s="2" t="s">
        <v>6</v>
      </c>
      <c r="L1" s="2" t="s">
        <v>7</v>
      </c>
      <c r="M1" s="2" t="s">
        <v>62</v>
      </c>
      <c r="N1" s="2" t="s">
        <v>37</v>
      </c>
    </row>
    <row r="2" spans="1:14" ht="15.6" x14ac:dyDescent="0.3">
      <c r="A2" s="7">
        <v>1</v>
      </c>
      <c r="B2" s="5" t="s">
        <v>12</v>
      </c>
      <c r="C2">
        <v>66</v>
      </c>
      <c r="D2">
        <v>62</v>
      </c>
      <c r="E2" s="4">
        <v>1292</v>
      </c>
      <c r="F2">
        <v>587</v>
      </c>
      <c r="G2">
        <v>5</v>
      </c>
      <c r="H2">
        <f t="shared" ref="H2:H28" si="0">ROUND((E2*100)/F2,4)</f>
        <v>220.10220000000001</v>
      </c>
      <c r="I2">
        <f>ROUND(E2/(D2-G2),4)</f>
        <v>22.666699999999999</v>
      </c>
      <c r="J2">
        <f>ROUND(Table2[[#This Row],[BALLS]]/(Table2[[#This Row],[SIXES]]+Table2[[#This Row],[FOURS]]),4)</f>
        <v>2.7302</v>
      </c>
      <c r="K2">
        <v>131</v>
      </c>
      <c r="L2">
        <v>84</v>
      </c>
      <c r="M2">
        <v>5</v>
      </c>
      <c r="N2" s="8" t="s">
        <v>106</v>
      </c>
    </row>
    <row r="3" spans="1:14" ht="15.6" x14ac:dyDescent="0.3">
      <c r="A3" s="9">
        <v>2</v>
      </c>
      <c r="B3" s="5" t="s">
        <v>36</v>
      </c>
      <c r="C3">
        <v>51</v>
      </c>
      <c r="D3">
        <v>44</v>
      </c>
      <c r="E3" s="4">
        <v>750</v>
      </c>
      <c r="F3">
        <v>445</v>
      </c>
      <c r="G3">
        <v>8</v>
      </c>
      <c r="H3">
        <f t="shared" si="0"/>
        <v>168.5393</v>
      </c>
      <c r="I3">
        <f t="shared" ref="I3:I27" si="1">ROUND(E3/(D3-G3),4)</f>
        <v>20.833300000000001</v>
      </c>
      <c r="J3">
        <f>ROUND(Table2[[#This Row],[BALLS]]/(Table2[[#This Row],[SIXES]]+Table2[[#This Row],[FOURS]]),4)</f>
        <v>3.6475</v>
      </c>
      <c r="K3">
        <v>42</v>
      </c>
      <c r="L3">
        <v>80</v>
      </c>
      <c r="M3">
        <v>1</v>
      </c>
      <c r="N3" s="8" t="s">
        <v>50</v>
      </c>
    </row>
    <row r="4" spans="1:14" ht="15.6" x14ac:dyDescent="0.3">
      <c r="A4" s="7">
        <v>3</v>
      </c>
      <c r="B4" s="5" t="s">
        <v>9</v>
      </c>
      <c r="C4">
        <v>66</v>
      </c>
      <c r="D4">
        <v>53</v>
      </c>
      <c r="E4" s="4">
        <v>461</v>
      </c>
      <c r="F4">
        <v>334</v>
      </c>
      <c r="G4">
        <v>10</v>
      </c>
      <c r="H4">
        <f t="shared" si="0"/>
        <v>138.024</v>
      </c>
      <c r="I4">
        <f t="shared" si="1"/>
        <v>10.7209</v>
      </c>
      <c r="J4">
        <f>ROUND(Table2[[#This Row],[BALLS]]/(Table2[[#This Row],[SIXES]]+Table2[[#This Row],[FOURS]]),4)</f>
        <v>4.6388999999999996</v>
      </c>
      <c r="K4">
        <v>34</v>
      </c>
      <c r="L4">
        <v>38</v>
      </c>
      <c r="M4">
        <v>1</v>
      </c>
      <c r="N4" s="8" t="s">
        <v>54</v>
      </c>
    </row>
    <row r="5" spans="1:14" ht="15.6" x14ac:dyDescent="0.3">
      <c r="A5" s="9">
        <v>4</v>
      </c>
      <c r="B5" s="5" t="s">
        <v>11</v>
      </c>
      <c r="C5">
        <v>57</v>
      </c>
      <c r="D5">
        <v>50</v>
      </c>
      <c r="E5" s="4">
        <v>443</v>
      </c>
      <c r="F5">
        <v>323</v>
      </c>
      <c r="G5">
        <v>6</v>
      </c>
      <c r="H5">
        <f t="shared" si="0"/>
        <v>137.15170000000001</v>
      </c>
      <c r="I5">
        <f t="shared" si="1"/>
        <v>10.068199999999999</v>
      </c>
      <c r="J5">
        <f>ROUND(Table2[[#This Row],[BALLS]]/(Table2[[#This Row],[SIXES]]+Table2[[#This Row],[FOURS]]),4)</f>
        <v>4.8209</v>
      </c>
      <c r="K5">
        <v>23</v>
      </c>
      <c r="L5">
        <v>44</v>
      </c>
      <c r="M5">
        <v>0</v>
      </c>
      <c r="N5" s="8" t="s">
        <v>48</v>
      </c>
    </row>
    <row r="6" spans="1:14" ht="15.6" x14ac:dyDescent="0.3">
      <c r="A6" s="7">
        <v>5</v>
      </c>
      <c r="B6" s="5" t="s">
        <v>14</v>
      </c>
      <c r="C6">
        <v>43</v>
      </c>
      <c r="D6">
        <v>35</v>
      </c>
      <c r="E6" s="4">
        <v>331</v>
      </c>
      <c r="F6">
        <v>252</v>
      </c>
      <c r="G6">
        <v>6</v>
      </c>
      <c r="H6">
        <f t="shared" si="0"/>
        <v>131.3492</v>
      </c>
      <c r="I6">
        <f t="shared" si="1"/>
        <v>11.4138</v>
      </c>
      <c r="J6">
        <f>ROUND(Table2[[#This Row],[BALLS]]/(Table2[[#This Row],[SIXES]]+Table2[[#This Row],[FOURS]]),4)</f>
        <v>5.25</v>
      </c>
      <c r="K6">
        <v>15</v>
      </c>
      <c r="L6">
        <v>33</v>
      </c>
      <c r="M6">
        <v>0</v>
      </c>
      <c r="N6" s="8" t="s">
        <v>69</v>
      </c>
    </row>
    <row r="7" spans="1:14" ht="15.6" x14ac:dyDescent="0.3">
      <c r="A7" s="9">
        <v>6</v>
      </c>
      <c r="B7" s="5" t="s">
        <v>13</v>
      </c>
      <c r="C7">
        <v>41</v>
      </c>
      <c r="D7">
        <v>35</v>
      </c>
      <c r="E7" s="4">
        <v>273</v>
      </c>
      <c r="F7">
        <v>177</v>
      </c>
      <c r="G7">
        <v>4</v>
      </c>
      <c r="H7">
        <f t="shared" si="0"/>
        <v>154.2373</v>
      </c>
      <c r="I7">
        <f t="shared" si="1"/>
        <v>8.8064999999999998</v>
      </c>
      <c r="J7">
        <f>ROUND(Table2[[#This Row],[BALLS]]/(Table2[[#This Row],[SIXES]]+Table2[[#This Row],[FOURS]]),4)</f>
        <v>4.4249999999999998</v>
      </c>
      <c r="K7">
        <v>25</v>
      </c>
      <c r="L7">
        <v>15</v>
      </c>
      <c r="M7">
        <v>0</v>
      </c>
      <c r="N7" s="8" t="s">
        <v>55</v>
      </c>
    </row>
    <row r="8" spans="1:14" ht="15.6" x14ac:dyDescent="0.3">
      <c r="A8" s="7">
        <v>7</v>
      </c>
      <c r="B8" s="5" t="s">
        <v>16</v>
      </c>
      <c r="C8">
        <v>45</v>
      </c>
      <c r="D8">
        <v>36</v>
      </c>
      <c r="E8" s="4">
        <v>259</v>
      </c>
      <c r="F8">
        <v>184</v>
      </c>
      <c r="G8">
        <v>7</v>
      </c>
      <c r="H8">
        <f t="shared" si="0"/>
        <v>140.76089999999999</v>
      </c>
      <c r="I8">
        <f t="shared" si="1"/>
        <v>8.9309999999999992</v>
      </c>
      <c r="J8">
        <f>ROUND(Table2[[#This Row],[BALLS]]/(Table2[[#This Row],[SIXES]]+Table2[[#This Row],[FOURS]]),4)</f>
        <v>4.8421000000000003</v>
      </c>
      <c r="K8">
        <v>22</v>
      </c>
      <c r="L8">
        <v>16</v>
      </c>
      <c r="M8">
        <v>0</v>
      </c>
      <c r="N8" s="8" t="s">
        <v>71</v>
      </c>
    </row>
    <row r="9" spans="1:14" ht="15.6" x14ac:dyDescent="0.3">
      <c r="A9" s="9">
        <v>8</v>
      </c>
      <c r="B9" s="5" t="s">
        <v>10</v>
      </c>
      <c r="C9">
        <v>35</v>
      </c>
      <c r="D9">
        <v>25</v>
      </c>
      <c r="E9" s="4">
        <v>247</v>
      </c>
      <c r="F9">
        <v>159</v>
      </c>
      <c r="G9">
        <v>7</v>
      </c>
      <c r="H9">
        <f t="shared" si="0"/>
        <v>155.3459</v>
      </c>
      <c r="I9">
        <f t="shared" si="1"/>
        <v>13.722200000000001</v>
      </c>
      <c r="J9">
        <f>ROUND(Table2[[#This Row],[BALLS]]/(Table2[[#This Row],[SIXES]]+Table2[[#This Row],[FOURS]]),4)</f>
        <v>4.1841999999999997</v>
      </c>
      <c r="K9">
        <v>17</v>
      </c>
      <c r="L9">
        <v>21</v>
      </c>
      <c r="M9">
        <v>0</v>
      </c>
      <c r="N9" s="8" t="s">
        <v>49</v>
      </c>
    </row>
    <row r="10" spans="1:14" ht="15.6" x14ac:dyDescent="0.3">
      <c r="A10" s="7">
        <v>9</v>
      </c>
      <c r="B10" s="5" t="s">
        <v>8</v>
      </c>
      <c r="C10">
        <v>86</v>
      </c>
      <c r="D10">
        <v>44</v>
      </c>
      <c r="E10" s="4">
        <v>242</v>
      </c>
      <c r="F10">
        <v>229</v>
      </c>
      <c r="G10">
        <v>16</v>
      </c>
      <c r="H10">
        <f t="shared" si="0"/>
        <v>105.6769</v>
      </c>
      <c r="I10">
        <f t="shared" si="1"/>
        <v>8.6428999999999991</v>
      </c>
      <c r="J10">
        <f>ROUND(Table2[[#This Row],[BALLS]]/(Table2[[#This Row],[SIXES]]+Table2[[#This Row],[FOURS]]),4)</f>
        <v>6.9394</v>
      </c>
      <c r="K10">
        <v>9</v>
      </c>
      <c r="L10">
        <v>24</v>
      </c>
      <c r="M10">
        <v>0</v>
      </c>
      <c r="N10" s="8" t="s">
        <v>67</v>
      </c>
    </row>
    <row r="11" spans="1:14" ht="15.6" x14ac:dyDescent="0.3">
      <c r="A11" s="9">
        <v>10</v>
      </c>
      <c r="B11" s="5" t="s">
        <v>15</v>
      </c>
      <c r="C11">
        <v>36</v>
      </c>
      <c r="D11">
        <v>25</v>
      </c>
      <c r="E11" s="4">
        <v>169</v>
      </c>
      <c r="F11">
        <v>163</v>
      </c>
      <c r="G11">
        <v>12</v>
      </c>
      <c r="H11">
        <f t="shared" si="0"/>
        <v>103.681</v>
      </c>
      <c r="I11">
        <f t="shared" si="1"/>
        <v>13</v>
      </c>
      <c r="J11">
        <f>ROUND(Table2[[#This Row],[BALLS]]/(Table2[[#This Row],[SIXES]]+Table2[[#This Row],[FOURS]]),4)</f>
        <v>7.7618999999999998</v>
      </c>
      <c r="K11">
        <v>3</v>
      </c>
      <c r="L11">
        <v>18</v>
      </c>
      <c r="M11">
        <v>0</v>
      </c>
      <c r="N11" s="8" t="s">
        <v>77</v>
      </c>
    </row>
    <row r="12" spans="1:14" ht="15.6" x14ac:dyDescent="0.3">
      <c r="A12" s="7">
        <v>11</v>
      </c>
      <c r="B12" s="5" t="s">
        <v>47</v>
      </c>
      <c r="C12">
        <v>25</v>
      </c>
      <c r="D12">
        <v>17</v>
      </c>
      <c r="E12" s="4">
        <v>160</v>
      </c>
      <c r="F12">
        <v>126</v>
      </c>
      <c r="G12">
        <v>2</v>
      </c>
      <c r="H12">
        <f t="shared" si="0"/>
        <v>126.9841</v>
      </c>
      <c r="I12">
        <f t="shared" si="1"/>
        <v>10.666700000000001</v>
      </c>
      <c r="J12">
        <f>ROUND(Table2[[#This Row],[BALLS]]/(Table2[[#This Row],[SIXES]]+Table2[[#This Row],[FOURS]]),4)</f>
        <v>6</v>
      </c>
      <c r="K12">
        <v>9</v>
      </c>
      <c r="L12">
        <v>12</v>
      </c>
      <c r="M12">
        <v>0</v>
      </c>
      <c r="N12" s="8" t="s">
        <v>53</v>
      </c>
    </row>
    <row r="13" spans="1:14" ht="15.6" x14ac:dyDescent="0.3">
      <c r="A13" s="9">
        <v>12</v>
      </c>
      <c r="B13" s="5" t="s">
        <v>20</v>
      </c>
      <c r="C13">
        <v>45</v>
      </c>
      <c r="D13">
        <v>18</v>
      </c>
      <c r="E13" s="4">
        <v>97</v>
      </c>
      <c r="F13">
        <v>88</v>
      </c>
      <c r="G13">
        <v>8</v>
      </c>
      <c r="H13">
        <f t="shared" si="0"/>
        <v>110.2273</v>
      </c>
      <c r="I13">
        <f t="shared" si="1"/>
        <v>9.6999999999999993</v>
      </c>
      <c r="J13">
        <f>ROUND(Table2[[#This Row],[BALLS]]/(Table2[[#This Row],[SIXES]]+Table2[[#This Row],[FOURS]]),4)</f>
        <v>8</v>
      </c>
      <c r="K13">
        <v>0</v>
      </c>
      <c r="L13">
        <v>11</v>
      </c>
      <c r="M13">
        <v>0</v>
      </c>
      <c r="N13" s="8" t="s">
        <v>70</v>
      </c>
    </row>
    <row r="14" spans="1:14" ht="15.6" x14ac:dyDescent="0.3">
      <c r="A14" s="7">
        <v>13</v>
      </c>
      <c r="B14" s="5" t="s">
        <v>64</v>
      </c>
      <c r="C14">
        <v>24</v>
      </c>
      <c r="D14">
        <v>17</v>
      </c>
      <c r="E14" s="4">
        <v>84</v>
      </c>
      <c r="F14">
        <v>70</v>
      </c>
      <c r="G14">
        <v>3</v>
      </c>
      <c r="H14">
        <f t="shared" si="0"/>
        <v>120</v>
      </c>
      <c r="I14">
        <f t="shared" si="1"/>
        <v>6</v>
      </c>
      <c r="J14">
        <f>ROUND(Table2[[#This Row],[BALLS]]/(Table2[[#This Row],[SIXES]]+Table2[[#This Row],[FOURS]]),4)</f>
        <v>7</v>
      </c>
      <c r="K14">
        <v>5</v>
      </c>
      <c r="L14">
        <v>5</v>
      </c>
      <c r="M14">
        <v>0</v>
      </c>
      <c r="N14" s="8" t="s">
        <v>87</v>
      </c>
    </row>
    <row r="15" spans="1:14" ht="15.6" x14ac:dyDescent="0.3">
      <c r="A15" s="9">
        <v>14</v>
      </c>
      <c r="B15" s="5" t="s">
        <v>21</v>
      </c>
      <c r="C15">
        <v>34</v>
      </c>
      <c r="D15">
        <v>16</v>
      </c>
      <c r="E15" s="4">
        <v>83</v>
      </c>
      <c r="F15">
        <v>77</v>
      </c>
      <c r="G15">
        <v>7</v>
      </c>
      <c r="H15">
        <f t="shared" si="0"/>
        <v>107.79219999999999</v>
      </c>
      <c r="I15">
        <f t="shared" si="1"/>
        <v>9.2222000000000008</v>
      </c>
      <c r="J15">
        <f>ROUND(Table2[[#This Row],[BALLS]]/(Table2[[#This Row],[SIXES]]+Table2[[#This Row],[FOURS]]),4)</f>
        <v>7.7</v>
      </c>
      <c r="K15">
        <v>1</v>
      </c>
      <c r="L15">
        <v>9</v>
      </c>
      <c r="M15">
        <v>0</v>
      </c>
      <c r="N15" s="8" t="s">
        <v>88</v>
      </c>
    </row>
    <row r="16" spans="1:14" ht="15.6" x14ac:dyDescent="0.3">
      <c r="A16" s="7">
        <v>15</v>
      </c>
      <c r="B16" s="5" t="s">
        <v>18</v>
      </c>
      <c r="C16">
        <v>23</v>
      </c>
      <c r="D16">
        <v>15</v>
      </c>
      <c r="E16" s="4">
        <v>53</v>
      </c>
      <c r="F16">
        <v>61</v>
      </c>
      <c r="G16">
        <v>1</v>
      </c>
      <c r="H16">
        <f t="shared" si="0"/>
        <v>86.885199999999998</v>
      </c>
      <c r="I16">
        <f t="shared" si="1"/>
        <v>3.7856999999999998</v>
      </c>
      <c r="J16">
        <f>ROUND(Table2[[#This Row],[BALLS]]/(Table2[[#This Row],[SIXES]]+Table2[[#This Row],[FOURS]]),4)</f>
        <v>12.2</v>
      </c>
      <c r="K16">
        <v>0</v>
      </c>
      <c r="L16">
        <v>5</v>
      </c>
      <c r="M16">
        <v>0</v>
      </c>
      <c r="N16" s="8" t="s">
        <v>79</v>
      </c>
    </row>
    <row r="17" spans="1:14" ht="15.6" x14ac:dyDescent="0.3">
      <c r="A17" s="9">
        <v>16</v>
      </c>
      <c r="B17" s="5" t="s">
        <v>27</v>
      </c>
      <c r="C17">
        <v>12</v>
      </c>
      <c r="D17">
        <v>9</v>
      </c>
      <c r="E17" s="4">
        <v>50</v>
      </c>
      <c r="F17">
        <v>57</v>
      </c>
      <c r="G17">
        <v>2</v>
      </c>
      <c r="H17">
        <f t="shared" si="0"/>
        <v>87.719300000000004</v>
      </c>
      <c r="I17">
        <f t="shared" si="1"/>
        <v>7.1429</v>
      </c>
      <c r="J17">
        <f>ROUND(Table2[[#This Row],[BALLS]]/(Table2[[#This Row],[SIXES]]+Table2[[#This Row],[FOURS]]),4)</f>
        <v>5.7</v>
      </c>
      <c r="K17">
        <v>2</v>
      </c>
      <c r="L17">
        <v>8</v>
      </c>
      <c r="M17">
        <v>0</v>
      </c>
      <c r="N17" s="8" t="s">
        <v>51</v>
      </c>
    </row>
    <row r="18" spans="1:14" ht="15.6" x14ac:dyDescent="0.3">
      <c r="A18" s="7">
        <v>17</v>
      </c>
      <c r="B18" s="5" t="s">
        <v>19</v>
      </c>
      <c r="C18">
        <v>22</v>
      </c>
      <c r="D18">
        <v>13</v>
      </c>
      <c r="E18" s="4">
        <v>45</v>
      </c>
      <c r="F18">
        <v>50</v>
      </c>
      <c r="G18">
        <v>4</v>
      </c>
      <c r="H18">
        <f t="shared" si="0"/>
        <v>90</v>
      </c>
      <c r="I18">
        <f t="shared" si="1"/>
        <v>5</v>
      </c>
      <c r="J18">
        <f>ROUND(Table2[[#This Row],[BALLS]]/(Table2[[#This Row],[SIXES]]+Table2[[#This Row],[FOURS]]),4)</f>
        <v>8.3332999999999995</v>
      </c>
      <c r="K18">
        <v>1</v>
      </c>
      <c r="L18">
        <v>5</v>
      </c>
      <c r="M18">
        <v>0</v>
      </c>
      <c r="N18" s="8" t="s">
        <v>80</v>
      </c>
    </row>
    <row r="19" spans="1:14" ht="15.6" x14ac:dyDescent="0.3">
      <c r="A19" s="9">
        <v>18</v>
      </c>
      <c r="B19" s="5" t="s">
        <v>25</v>
      </c>
      <c r="C19">
        <v>5</v>
      </c>
      <c r="D19">
        <v>4</v>
      </c>
      <c r="E19" s="4">
        <v>38</v>
      </c>
      <c r="F19">
        <v>40</v>
      </c>
      <c r="G19">
        <v>2</v>
      </c>
      <c r="H19">
        <f t="shared" si="0"/>
        <v>95</v>
      </c>
      <c r="I19">
        <f t="shared" si="1"/>
        <v>19</v>
      </c>
      <c r="J19">
        <f>ROUND(Table2[[#This Row],[BALLS]]/(Table2[[#This Row],[SIXES]]+Table2[[#This Row],[FOURS]]),4)</f>
        <v>10</v>
      </c>
      <c r="K19">
        <v>1</v>
      </c>
      <c r="L19">
        <v>3</v>
      </c>
      <c r="M19">
        <v>0</v>
      </c>
      <c r="N19" s="8" t="s">
        <v>59</v>
      </c>
    </row>
    <row r="20" spans="1:14" ht="15.6" x14ac:dyDescent="0.3">
      <c r="A20" s="7">
        <v>19</v>
      </c>
      <c r="B20" s="5" t="s">
        <v>22</v>
      </c>
      <c r="C20">
        <v>16</v>
      </c>
      <c r="D20">
        <v>8</v>
      </c>
      <c r="E20" s="4">
        <v>35</v>
      </c>
      <c r="F20">
        <v>43</v>
      </c>
      <c r="G20">
        <v>2</v>
      </c>
      <c r="H20">
        <f t="shared" si="0"/>
        <v>81.395300000000006</v>
      </c>
      <c r="I20">
        <f t="shared" si="1"/>
        <v>5.8333000000000004</v>
      </c>
      <c r="J20">
        <f>ROUND(Table2[[#This Row],[BALLS]]/(Table2[[#This Row],[SIXES]]+Table2[[#This Row],[FOURS]]),4)</f>
        <v>21.5</v>
      </c>
      <c r="K20">
        <v>0</v>
      </c>
      <c r="L20">
        <v>2</v>
      </c>
      <c r="M20">
        <v>0</v>
      </c>
      <c r="N20" s="8" t="s">
        <v>74</v>
      </c>
    </row>
    <row r="21" spans="1:14" ht="15.6" x14ac:dyDescent="0.3">
      <c r="A21" s="9">
        <v>20</v>
      </c>
      <c r="B21" s="5" t="s">
        <v>23</v>
      </c>
      <c r="C21">
        <v>11</v>
      </c>
      <c r="D21">
        <v>4</v>
      </c>
      <c r="E21" s="4">
        <v>28</v>
      </c>
      <c r="F21">
        <v>39</v>
      </c>
      <c r="G21">
        <v>1</v>
      </c>
      <c r="H21">
        <f t="shared" si="0"/>
        <v>71.794899999999998</v>
      </c>
      <c r="I21">
        <f t="shared" si="1"/>
        <v>9.3332999999999995</v>
      </c>
      <c r="J21">
        <f>ROUND(Table2[[#This Row],[BALLS]]/(Table2[[#This Row],[SIXES]]+Table2[[#This Row],[FOURS]]),4)</f>
        <v>39</v>
      </c>
      <c r="K21">
        <v>0</v>
      </c>
      <c r="L21">
        <v>1</v>
      </c>
      <c r="M21">
        <v>0</v>
      </c>
      <c r="N21" s="8" t="s">
        <v>76</v>
      </c>
    </row>
    <row r="22" spans="1:14" ht="15.6" x14ac:dyDescent="0.3">
      <c r="A22" s="7">
        <v>21</v>
      </c>
      <c r="B22" s="5" t="s">
        <v>57</v>
      </c>
      <c r="C22">
        <v>5</v>
      </c>
      <c r="D22">
        <v>2</v>
      </c>
      <c r="E22" s="4">
        <v>17</v>
      </c>
      <c r="F22">
        <v>14</v>
      </c>
      <c r="G22">
        <v>0</v>
      </c>
      <c r="H22">
        <f t="shared" si="0"/>
        <v>121.4286</v>
      </c>
      <c r="I22">
        <f t="shared" si="1"/>
        <v>8.5</v>
      </c>
      <c r="J22">
        <f>ROUND(Table2[[#This Row],[BALLS]]/(Table2[[#This Row],[SIXES]]+Table2[[#This Row],[FOURS]]),4)</f>
        <v>4.6666999999999996</v>
      </c>
      <c r="K22">
        <v>0</v>
      </c>
      <c r="L22">
        <v>3</v>
      </c>
      <c r="M22">
        <v>0</v>
      </c>
      <c r="N22" s="8" t="s">
        <v>58</v>
      </c>
    </row>
    <row r="23" spans="1:14" ht="15.6" x14ac:dyDescent="0.3">
      <c r="A23" s="9">
        <v>22</v>
      </c>
      <c r="B23" s="5" t="s">
        <v>17</v>
      </c>
      <c r="C23">
        <v>8</v>
      </c>
      <c r="D23">
        <v>5</v>
      </c>
      <c r="E23" s="4">
        <v>16</v>
      </c>
      <c r="F23">
        <v>22</v>
      </c>
      <c r="G23">
        <v>2</v>
      </c>
      <c r="H23">
        <f t="shared" si="0"/>
        <v>72.7273</v>
      </c>
      <c r="I23">
        <f t="shared" si="1"/>
        <v>5.3333000000000004</v>
      </c>
      <c r="J23">
        <f>ROUND(Table2[[#This Row],[BALLS]]/(Table2[[#This Row],[SIXES]]+Table2[[#This Row],[FOURS]]),4)</f>
        <v>22</v>
      </c>
      <c r="K23">
        <v>0</v>
      </c>
      <c r="L23">
        <v>1</v>
      </c>
      <c r="M23">
        <v>0</v>
      </c>
      <c r="N23" s="8" t="s">
        <v>46</v>
      </c>
    </row>
    <row r="24" spans="1:14" ht="15.6" x14ac:dyDescent="0.3">
      <c r="A24" s="7">
        <v>23</v>
      </c>
      <c r="B24" s="5" t="s">
        <v>56</v>
      </c>
      <c r="C24">
        <v>8</v>
      </c>
      <c r="D24">
        <v>5</v>
      </c>
      <c r="E24" s="4">
        <v>15</v>
      </c>
      <c r="F24">
        <v>32</v>
      </c>
      <c r="G24">
        <v>2</v>
      </c>
      <c r="H24">
        <f t="shared" si="0"/>
        <v>46.875</v>
      </c>
      <c r="I24">
        <f t="shared" si="1"/>
        <v>5</v>
      </c>
      <c r="J24">
        <f>ROUND(Table2[[#This Row],[BALLS]]/(Table2[[#This Row],[SIXES]]+Table2[[#This Row],[FOURS]]),4)</f>
        <v>32</v>
      </c>
      <c r="K24">
        <v>0</v>
      </c>
      <c r="L24">
        <v>1</v>
      </c>
      <c r="M24">
        <v>0</v>
      </c>
      <c r="N24" s="8" t="s">
        <v>66</v>
      </c>
    </row>
    <row r="25" spans="1:14" ht="15.6" x14ac:dyDescent="0.3">
      <c r="A25" s="9">
        <v>24</v>
      </c>
      <c r="B25" s="5" t="s">
        <v>68</v>
      </c>
      <c r="C25">
        <v>17</v>
      </c>
      <c r="D25">
        <v>6</v>
      </c>
      <c r="E25" s="4">
        <v>9</v>
      </c>
      <c r="F25">
        <v>9</v>
      </c>
      <c r="G25">
        <v>3</v>
      </c>
      <c r="H25">
        <f t="shared" si="0"/>
        <v>100</v>
      </c>
      <c r="I25">
        <f t="shared" si="1"/>
        <v>3</v>
      </c>
      <c r="J25">
        <f>ROUND(Table2[[#This Row],[BALLS]]/(Table2[[#This Row],[SIXES]]+Table2[[#This Row],[FOURS]]),4)</f>
        <v>9</v>
      </c>
      <c r="K25">
        <v>1</v>
      </c>
      <c r="L25">
        <v>0</v>
      </c>
      <c r="M25">
        <v>0</v>
      </c>
      <c r="N25" s="8" t="s">
        <v>61</v>
      </c>
    </row>
    <row r="26" spans="1:14" ht="15.6" x14ac:dyDescent="0.3">
      <c r="A26" s="7">
        <v>25</v>
      </c>
      <c r="B26" s="5" t="s">
        <v>42</v>
      </c>
      <c r="C26">
        <v>4</v>
      </c>
      <c r="D26">
        <v>4</v>
      </c>
      <c r="E26" s="4">
        <v>8</v>
      </c>
      <c r="F26">
        <v>11</v>
      </c>
      <c r="G26">
        <v>2</v>
      </c>
      <c r="H26">
        <f t="shared" si="0"/>
        <v>72.7273</v>
      </c>
      <c r="I26">
        <f t="shared" si="1"/>
        <v>4</v>
      </c>
      <c r="J26">
        <f>ROUND(Table2[[#This Row],[BALLS]]/(Table2[[#This Row],[SIXES]]+Table2[[#This Row],[FOURS]]),4)</f>
        <v>11</v>
      </c>
      <c r="K26">
        <v>0</v>
      </c>
      <c r="L26">
        <v>1</v>
      </c>
      <c r="M26">
        <v>0</v>
      </c>
      <c r="N26" s="8" t="s">
        <v>52</v>
      </c>
    </row>
    <row r="27" spans="1:14" ht="15.6" x14ac:dyDescent="0.3">
      <c r="A27" s="9">
        <v>26</v>
      </c>
      <c r="B27" s="5" t="s">
        <v>24</v>
      </c>
      <c r="C27">
        <v>8</v>
      </c>
      <c r="D27">
        <v>2</v>
      </c>
      <c r="E27" s="4">
        <v>8</v>
      </c>
      <c r="F27">
        <v>14</v>
      </c>
      <c r="G27">
        <v>1</v>
      </c>
      <c r="H27">
        <f t="shared" si="0"/>
        <v>57.142899999999997</v>
      </c>
      <c r="I27">
        <f t="shared" si="1"/>
        <v>8</v>
      </c>
      <c r="J27">
        <f>ROUND(Table2[[#This Row],[BALLS]]/(Table2[[#This Row],[SIXES]]+Table2[[#This Row],[FOURS]]),4)</f>
        <v>14</v>
      </c>
      <c r="K27">
        <v>0</v>
      </c>
      <c r="L27">
        <v>1</v>
      </c>
      <c r="M27">
        <v>0</v>
      </c>
      <c r="N27" s="8" t="s">
        <v>75</v>
      </c>
    </row>
    <row r="28" spans="1:14" ht="15.6" x14ac:dyDescent="0.3">
      <c r="A28" s="7">
        <v>27</v>
      </c>
      <c r="B28" s="5" t="s">
        <v>26</v>
      </c>
      <c r="C28">
        <v>2</v>
      </c>
      <c r="D28">
        <v>1</v>
      </c>
      <c r="E28" s="4">
        <v>1</v>
      </c>
      <c r="F28">
        <v>4</v>
      </c>
      <c r="G28">
        <v>1</v>
      </c>
      <c r="H28">
        <f t="shared" si="0"/>
        <v>25</v>
      </c>
      <c r="I28">
        <v>0</v>
      </c>
      <c r="J28" t="s">
        <v>86</v>
      </c>
      <c r="K28">
        <v>0</v>
      </c>
      <c r="L28">
        <v>0</v>
      </c>
      <c r="M28">
        <v>0</v>
      </c>
      <c r="N28" s="8" t="s">
        <v>60</v>
      </c>
    </row>
  </sheetData>
  <sortState xmlns:xlrd2="http://schemas.microsoft.com/office/spreadsheetml/2017/richdata2" ref="B1:N26">
    <sortCondition descending="1" ref="E1:E26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L15"/>
  <sheetViews>
    <sheetView zoomScale="108" zoomScaleNormal="167" workbookViewId="0">
      <selection activeCell="O8" sqref="O8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2" ht="17.399999999999999" x14ac:dyDescent="0.35">
      <c r="A1" s="6" t="s">
        <v>84</v>
      </c>
      <c r="B1" s="2" t="s">
        <v>29</v>
      </c>
      <c r="C1" s="2" t="s">
        <v>1</v>
      </c>
      <c r="D1" s="2" t="s">
        <v>30</v>
      </c>
      <c r="E1" s="3" t="s">
        <v>31</v>
      </c>
      <c r="F1" s="2" t="s">
        <v>3</v>
      </c>
      <c r="G1" s="2" t="s">
        <v>32</v>
      </c>
      <c r="H1" s="2" t="s">
        <v>5</v>
      </c>
      <c r="I1" s="2" t="s">
        <v>33</v>
      </c>
      <c r="J1" s="2" t="s">
        <v>34</v>
      </c>
      <c r="K1" s="2" t="s">
        <v>35</v>
      </c>
      <c r="L1" s="2" t="s">
        <v>37</v>
      </c>
    </row>
    <row r="2" spans="1:12" ht="15.6" x14ac:dyDescent="0.3">
      <c r="A2" s="7">
        <v>1</v>
      </c>
      <c r="B2" s="5" t="s">
        <v>8</v>
      </c>
      <c r="C2">
        <v>86</v>
      </c>
      <c r="D2">
        <v>137.30000000000001</v>
      </c>
      <c r="E2" s="4">
        <v>95</v>
      </c>
      <c r="F2">
        <v>1373</v>
      </c>
      <c r="G2">
        <f t="shared" ref="G2:G14" si="0">ROUND(F2*6 / (INT(D2)*6 + MOD(D2,1)*10),4)</f>
        <v>9.9855</v>
      </c>
      <c r="H2">
        <f t="shared" ref="H2:H14" si="1">ROUND(F2/E2,4)</f>
        <v>14.4526</v>
      </c>
      <c r="I2">
        <f t="shared" ref="I2:I14" si="2">ROUND(IF(E2=0,"-", (INT(D2)*6 + MOD(D2,1)*10) / E2),4)</f>
        <v>8.6842000000000006</v>
      </c>
      <c r="J2">
        <v>10</v>
      </c>
      <c r="K2">
        <v>2</v>
      </c>
      <c r="L2" t="s">
        <v>43</v>
      </c>
    </row>
    <row r="3" spans="1:12" ht="15.6" x14ac:dyDescent="0.3">
      <c r="A3">
        <v>2</v>
      </c>
      <c r="B3" s="5" t="s">
        <v>12</v>
      </c>
      <c r="C3">
        <v>66</v>
      </c>
      <c r="D3">
        <v>119.4</v>
      </c>
      <c r="E3" s="4">
        <v>71</v>
      </c>
      <c r="F3">
        <v>1326</v>
      </c>
      <c r="G3">
        <f t="shared" si="0"/>
        <v>11.0808</v>
      </c>
      <c r="H3">
        <f t="shared" si="1"/>
        <v>18.676100000000002</v>
      </c>
      <c r="I3">
        <f t="shared" si="2"/>
        <v>10.1127</v>
      </c>
      <c r="J3">
        <v>8</v>
      </c>
      <c r="K3">
        <v>0</v>
      </c>
      <c r="L3" t="s">
        <v>65</v>
      </c>
    </row>
    <row r="4" spans="1:12" ht="15.6" x14ac:dyDescent="0.3">
      <c r="A4" s="7">
        <v>3</v>
      </c>
      <c r="B4" s="5" t="s">
        <v>36</v>
      </c>
      <c r="C4">
        <v>51</v>
      </c>
      <c r="D4">
        <v>91.2</v>
      </c>
      <c r="E4" s="4">
        <v>60</v>
      </c>
      <c r="F4">
        <v>958</v>
      </c>
      <c r="G4">
        <f t="shared" si="0"/>
        <v>10.489100000000001</v>
      </c>
      <c r="H4">
        <f t="shared" si="1"/>
        <v>15.966699999999999</v>
      </c>
      <c r="I4">
        <f t="shared" si="2"/>
        <v>9.1333000000000002</v>
      </c>
      <c r="J4">
        <v>3</v>
      </c>
      <c r="K4">
        <v>0</v>
      </c>
      <c r="L4" t="s">
        <v>82</v>
      </c>
    </row>
    <row r="5" spans="1:12" ht="15.6" x14ac:dyDescent="0.3">
      <c r="A5">
        <v>4</v>
      </c>
      <c r="B5" s="5" t="s">
        <v>14</v>
      </c>
      <c r="C5">
        <v>43</v>
      </c>
      <c r="D5">
        <v>74.3</v>
      </c>
      <c r="E5" s="4">
        <v>47</v>
      </c>
      <c r="F5">
        <v>773</v>
      </c>
      <c r="G5">
        <f t="shared" si="0"/>
        <v>10.3758</v>
      </c>
      <c r="H5">
        <f t="shared" si="1"/>
        <v>16.4468</v>
      </c>
      <c r="I5">
        <f t="shared" si="2"/>
        <v>9.5106000000000002</v>
      </c>
      <c r="J5">
        <v>7</v>
      </c>
      <c r="K5">
        <v>0</v>
      </c>
      <c r="L5" t="s">
        <v>73</v>
      </c>
    </row>
    <row r="6" spans="1:12" ht="15.6" x14ac:dyDescent="0.3">
      <c r="A6" s="7">
        <v>5</v>
      </c>
      <c r="B6" s="5" t="s">
        <v>9</v>
      </c>
      <c r="C6">
        <v>66</v>
      </c>
      <c r="D6">
        <v>59.4</v>
      </c>
      <c r="E6" s="4">
        <v>44</v>
      </c>
      <c r="F6">
        <v>608</v>
      </c>
      <c r="G6">
        <f t="shared" si="0"/>
        <v>10.1899</v>
      </c>
      <c r="H6">
        <f t="shared" si="1"/>
        <v>13.818199999999999</v>
      </c>
      <c r="I6">
        <f t="shared" si="2"/>
        <v>8.1364000000000001</v>
      </c>
      <c r="J6">
        <v>4</v>
      </c>
      <c r="K6">
        <v>0</v>
      </c>
      <c r="L6" t="s">
        <v>81</v>
      </c>
    </row>
    <row r="7" spans="1:12" ht="15.6" x14ac:dyDescent="0.3">
      <c r="A7">
        <v>6</v>
      </c>
      <c r="B7" s="5" t="s">
        <v>20</v>
      </c>
      <c r="C7">
        <v>45</v>
      </c>
      <c r="D7">
        <v>40.4</v>
      </c>
      <c r="E7" s="4">
        <v>23</v>
      </c>
      <c r="F7">
        <v>379</v>
      </c>
      <c r="G7">
        <f t="shared" si="0"/>
        <v>9.3196999999999992</v>
      </c>
      <c r="H7">
        <f t="shared" si="1"/>
        <v>16.478300000000001</v>
      </c>
      <c r="I7">
        <f t="shared" si="2"/>
        <v>10.608700000000001</v>
      </c>
      <c r="J7">
        <v>2</v>
      </c>
      <c r="K7">
        <v>0</v>
      </c>
      <c r="L7" t="s">
        <v>63</v>
      </c>
    </row>
    <row r="8" spans="1:12" ht="15.6" x14ac:dyDescent="0.3">
      <c r="A8" s="7">
        <v>7</v>
      </c>
      <c r="B8" s="5" t="s">
        <v>18</v>
      </c>
      <c r="C8">
        <v>24</v>
      </c>
      <c r="D8">
        <v>31.3</v>
      </c>
      <c r="E8" s="4">
        <v>21</v>
      </c>
      <c r="F8">
        <v>292</v>
      </c>
      <c r="G8">
        <f t="shared" si="0"/>
        <v>9.2698</v>
      </c>
      <c r="H8">
        <f t="shared" si="1"/>
        <v>13.9048</v>
      </c>
      <c r="I8">
        <f t="shared" si="2"/>
        <v>9</v>
      </c>
      <c r="J8">
        <v>2</v>
      </c>
      <c r="K8">
        <v>0</v>
      </c>
      <c r="L8" t="s">
        <v>41</v>
      </c>
    </row>
    <row r="9" spans="1:12" ht="15.6" x14ac:dyDescent="0.3">
      <c r="A9">
        <v>8</v>
      </c>
      <c r="B9" s="5" t="s">
        <v>64</v>
      </c>
      <c r="C9">
        <v>24</v>
      </c>
      <c r="D9">
        <v>30.3</v>
      </c>
      <c r="E9" s="4">
        <v>20</v>
      </c>
      <c r="F9">
        <v>261</v>
      </c>
      <c r="G9">
        <f t="shared" si="0"/>
        <v>8.5573999999999995</v>
      </c>
      <c r="H9">
        <f t="shared" si="1"/>
        <v>13.05</v>
      </c>
      <c r="I9">
        <f t="shared" si="2"/>
        <v>9.15</v>
      </c>
      <c r="J9">
        <v>2</v>
      </c>
      <c r="K9">
        <v>0</v>
      </c>
      <c r="L9" t="s">
        <v>83</v>
      </c>
    </row>
    <row r="10" spans="1:12" ht="15.6" x14ac:dyDescent="0.3">
      <c r="A10" s="7">
        <v>9</v>
      </c>
      <c r="B10" s="5" t="s">
        <v>21</v>
      </c>
      <c r="C10">
        <v>34</v>
      </c>
      <c r="D10">
        <v>28.1</v>
      </c>
      <c r="E10" s="4">
        <v>19</v>
      </c>
      <c r="F10">
        <v>259</v>
      </c>
      <c r="G10">
        <f t="shared" si="0"/>
        <v>9.1952999999999996</v>
      </c>
      <c r="H10">
        <f t="shared" si="1"/>
        <v>13.631600000000001</v>
      </c>
      <c r="I10">
        <f t="shared" si="2"/>
        <v>8.8947000000000003</v>
      </c>
      <c r="J10">
        <v>1</v>
      </c>
      <c r="K10">
        <v>0</v>
      </c>
      <c r="L10" t="s">
        <v>44</v>
      </c>
    </row>
    <row r="11" spans="1:12" ht="15.6" x14ac:dyDescent="0.3">
      <c r="A11">
        <v>10</v>
      </c>
      <c r="B11" s="5" t="s">
        <v>22</v>
      </c>
      <c r="C11">
        <v>16</v>
      </c>
      <c r="D11">
        <v>14.2</v>
      </c>
      <c r="E11" s="4">
        <v>11</v>
      </c>
      <c r="F11">
        <v>132</v>
      </c>
      <c r="G11">
        <f t="shared" si="0"/>
        <v>9.2093000000000007</v>
      </c>
      <c r="H11">
        <f t="shared" si="1"/>
        <v>12</v>
      </c>
      <c r="I11">
        <f t="shared" si="2"/>
        <v>7.8182</v>
      </c>
      <c r="J11">
        <v>0</v>
      </c>
      <c r="K11">
        <v>0</v>
      </c>
      <c r="L11" t="s">
        <v>40</v>
      </c>
    </row>
    <row r="12" spans="1:12" ht="15.6" x14ac:dyDescent="0.3">
      <c r="A12" s="7">
        <v>11</v>
      </c>
      <c r="B12" s="5" t="s">
        <v>10</v>
      </c>
      <c r="C12">
        <v>35</v>
      </c>
      <c r="D12">
        <v>6</v>
      </c>
      <c r="E12" s="4">
        <v>3</v>
      </c>
      <c r="F12">
        <v>73</v>
      </c>
      <c r="G12">
        <f t="shared" si="0"/>
        <v>12.166700000000001</v>
      </c>
      <c r="H12">
        <f t="shared" si="1"/>
        <v>24.333300000000001</v>
      </c>
      <c r="I12">
        <f t="shared" si="2"/>
        <v>12</v>
      </c>
      <c r="J12">
        <v>0</v>
      </c>
      <c r="K12">
        <v>0</v>
      </c>
      <c r="L12" s="1" t="s">
        <v>78</v>
      </c>
    </row>
    <row r="13" spans="1:12" ht="15.6" x14ac:dyDescent="0.3">
      <c r="A13" s="9">
        <v>12</v>
      </c>
      <c r="B13" s="5" t="s">
        <v>27</v>
      </c>
      <c r="C13">
        <v>12</v>
      </c>
      <c r="D13">
        <v>9</v>
      </c>
      <c r="E13" s="4">
        <v>3</v>
      </c>
      <c r="F13">
        <v>129</v>
      </c>
      <c r="G13">
        <f t="shared" si="0"/>
        <v>14.333299999999999</v>
      </c>
      <c r="H13">
        <f t="shared" si="1"/>
        <v>43</v>
      </c>
      <c r="I13">
        <f t="shared" si="2"/>
        <v>18</v>
      </c>
      <c r="J13">
        <v>0</v>
      </c>
      <c r="K13">
        <v>0</v>
      </c>
      <c r="L13" t="s">
        <v>38</v>
      </c>
    </row>
    <row r="14" spans="1:12" ht="15.6" x14ac:dyDescent="0.3">
      <c r="A14" s="7">
        <v>13</v>
      </c>
      <c r="B14" s="5" t="s">
        <v>11</v>
      </c>
      <c r="C14">
        <v>57</v>
      </c>
      <c r="D14">
        <v>0.3</v>
      </c>
      <c r="E14" s="4">
        <v>1</v>
      </c>
      <c r="F14">
        <v>0</v>
      </c>
      <c r="G14">
        <f t="shared" si="0"/>
        <v>0</v>
      </c>
      <c r="H14">
        <f t="shared" si="1"/>
        <v>0</v>
      </c>
      <c r="I14">
        <f t="shared" si="2"/>
        <v>3</v>
      </c>
      <c r="J14">
        <v>0</v>
      </c>
      <c r="K14">
        <v>0</v>
      </c>
      <c r="L14" t="s">
        <v>85</v>
      </c>
    </row>
    <row r="15" spans="1:12" ht="15.6" x14ac:dyDescent="0.3">
      <c r="A15" s="9">
        <v>14</v>
      </c>
      <c r="B15" s="5" t="s">
        <v>13</v>
      </c>
      <c r="C15">
        <v>41</v>
      </c>
      <c r="D15">
        <v>2</v>
      </c>
      <c r="E15" s="4">
        <v>0</v>
      </c>
      <c r="F15">
        <v>23</v>
      </c>
      <c r="G15">
        <f t="shared" ref="G15" si="3">F15*6 / (INT(D15)*6 + MOD(D15,1)*10)</f>
        <v>11.5</v>
      </c>
      <c r="H15" t="s">
        <v>86</v>
      </c>
      <c r="I15" t="str">
        <f t="shared" ref="I15" si="4">IF(E15=0,"-", (INT(D15)*6 + MOD(D15,1)*10) / E15)</f>
        <v>-</v>
      </c>
      <c r="J15">
        <v>0</v>
      </c>
      <c r="K15">
        <v>0</v>
      </c>
      <c r="L15" t="s">
        <v>39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tabSelected="1"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92</v>
      </c>
      <c r="B1" t="s">
        <v>91</v>
      </c>
      <c r="C1" t="s">
        <v>93</v>
      </c>
      <c r="D1" t="s">
        <v>94</v>
      </c>
      <c r="H1" t="s">
        <v>91</v>
      </c>
      <c r="K1" t="s">
        <v>94</v>
      </c>
      <c r="N1" t="s">
        <v>93</v>
      </c>
    </row>
    <row r="2" spans="1:15" x14ac:dyDescent="0.3">
      <c r="A2" t="s">
        <v>97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99</v>
      </c>
      <c r="I2" s="10">
        <v>46033</v>
      </c>
      <c r="K2" s="10" t="s">
        <v>101</v>
      </c>
      <c r="L2" s="10">
        <v>46143</v>
      </c>
      <c r="N2" t="s">
        <v>104</v>
      </c>
      <c r="O2" s="10">
        <v>46146</v>
      </c>
    </row>
    <row r="3" spans="1:15" x14ac:dyDescent="0.3">
      <c r="A3" t="s">
        <v>89</v>
      </c>
      <c r="B3">
        <v>5</v>
      </c>
      <c r="C3">
        <v>0</v>
      </c>
      <c r="D3">
        <v>1</v>
      </c>
      <c r="H3" t="s">
        <v>98</v>
      </c>
      <c r="I3" s="10">
        <v>46038</v>
      </c>
      <c r="K3" t="s">
        <v>100</v>
      </c>
      <c r="L3" s="10">
        <v>46147</v>
      </c>
    </row>
    <row r="4" spans="1:15" x14ac:dyDescent="0.3">
      <c r="A4" t="s">
        <v>90</v>
      </c>
      <c r="B4">
        <v>3</v>
      </c>
      <c r="C4">
        <v>1</v>
      </c>
      <c r="D4">
        <v>1</v>
      </c>
      <c r="H4" s="10" t="s">
        <v>100</v>
      </c>
      <c r="I4" s="10">
        <v>46042</v>
      </c>
    </row>
    <row r="5" spans="1:15" x14ac:dyDescent="0.3">
      <c r="A5" t="s">
        <v>95</v>
      </c>
      <c r="B5">
        <v>2</v>
      </c>
      <c r="C5">
        <v>0</v>
      </c>
      <c r="D5">
        <v>0</v>
      </c>
      <c r="H5" s="10" t="s">
        <v>101</v>
      </c>
      <c r="I5" s="10">
        <v>46071</v>
      </c>
    </row>
    <row r="6" spans="1:15" x14ac:dyDescent="0.3">
      <c r="H6" s="10" t="s">
        <v>102</v>
      </c>
      <c r="I6" s="10">
        <v>46076</v>
      </c>
    </row>
    <row r="7" spans="1:15" x14ac:dyDescent="0.3">
      <c r="A7" t="s">
        <v>96</v>
      </c>
      <c r="B7" t="s">
        <v>91</v>
      </c>
      <c r="C7" t="s">
        <v>93</v>
      </c>
      <c r="D7" t="s">
        <v>94</v>
      </c>
      <c r="H7" s="10" t="s">
        <v>102</v>
      </c>
      <c r="I7" s="10">
        <v>46080</v>
      </c>
    </row>
    <row r="8" spans="1:15" x14ac:dyDescent="0.3">
      <c r="A8" t="s">
        <v>97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100</v>
      </c>
      <c r="I8" s="10">
        <v>46093</v>
      </c>
    </row>
    <row r="9" spans="1:15" x14ac:dyDescent="0.3">
      <c r="A9" t="s">
        <v>89</v>
      </c>
      <c r="B9">
        <v>16</v>
      </c>
      <c r="C9">
        <v>0</v>
      </c>
      <c r="D9">
        <v>3</v>
      </c>
      <c r="H9" s="10" t="s">
        <v>103</v>
      </c>
      <c r="I9" s="10">
        <v>46118</v>
      </c>
    </row>
    <row r="10" spans="1:15" x14ac:dyDescent="0.3">
      <c r="A10" t="s">
        <v>90</v>
      </c>
      <c r="B10">
        <v>12</v>
      </c>
      <c r="C10">
        <v>2</v>
      </c>
      <c r="D10">
        <v>3</v>
      </c>
      <c r="H10" s="10" t="s">
        <v>103</v>
      </c>
      <c r="I10" s="10">
        <v>46129</v>
      </c>
    </row>
    <row r="11" spans="1:15" x14ac:dyDescent="0.3">
      <c r="A11" t="s">
        <v>95</v>
      </c>
      <c r="B11">
        <v>0</v>
      </c>
      <c r="C11">
        <v>0</v>
      </c>
      <c r="D11">
        <v>0</v>
      </c>
      <c r="H11" s="10" t="s">
        <v>101</v>
      </c>
      <c r="I11" s="10">
        <v>46187</v>
      </c>
    </row>
    <row r="12" spans="1:15" x14ac:dyDescent="0.3">
      <c r="H12" s="10" t="s">
        <v>102</v>
      </c>
      <c r="I12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2026-06-21T08:03:14Z</dcterms:modified>
</cp:coreProperties>
</file>