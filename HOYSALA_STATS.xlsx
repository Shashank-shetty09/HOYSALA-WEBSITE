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shank Shetty\Downloads\H\"/>
    </mc:Choice>
  </mc:AlternateContent>
  <xr:revisionPtr revIDLastSave="0" documentId="13_ncr:1_{EC0EB47A-7984-493F-B5EE-7655D9C8E94B}" xr6:coauthVersionLast="47" xr6:coauthVersionMax="47" xr10:uidLastSave="{00000000-0000-0000-0000-000000000000}"/>
  <bookViews>
    <workbookView xWindow="-108" yWindow="-108" windowWidth="23256" windowHeight="13176" xr2:uid="{49A19E03-9679-4684-9B3B-B42A2982796E}"/>
  </bookViews>
  <sheets>
    <sheet name="BATTING" sheetId="1" r:id="rId1"/>
    <sheet name="BOWLING" sheetId="2" r:id="rId2"/>
    <sheet name="TEAM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2" l="1"/>
  <c r="G15" i="2"/>
  <c r="I14" i="2"/>
  <c r="H14" i="2"/>
  <c r="G14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I2" i="2"/>
  <c r="H2" i="2"/>
  <c r="G2" i="2"/>
  <c r="H28" i="1"/>
  <c r="J27" i="1"/>
  <c r="I27" i="1"/>
  <c r="H27" i="1"/>
  <c r="J26" i="1"/>
  <c r="I26" i="1"/>
  <c r="H26" i="1"/>
  <c r="J25" i="1"/>
  <c r="I25" i="1"/>
  <c r="H25" i="1"/>
  <c r="J24" i="1"/>
  <c r="I24" i="1"/>
  <c r="H24" i="1"/>
  <c r="J23" i="1"/>
  <c r="I23" i="1"/>
  <c r="H23" i="1"/>
  <c r="J22" i="1"/>
  <c r="I22" i="1"/>
  <c r="H22" i="1"/>
  <c r="J21" i="1"/>
  <c r="I21" i="1"/>
  <c r="H21" i="1"/>
  <c r="J20" i="1"/>
  <c r="I20" i="1"/>
  <c r="H20" i="1"/>
  <c r="J19" i="1"/>
  <c r="I19" i="1"/>
  <c r="H19" i="1"/>
  <c r="J18" i="1"/>
  <c r="I18" i="1"/>
  <c r="H18" i="1"/>
  <c r="J17" i="1"/>
  <c r="I17" i="1"/>
  <c r="H17" i="1"/>
  <c r="J16" i="1"/>
  <c r="I16" i="1"/>
  <c r="H16" i="1"/>
  <c r="J15" i="1"/>
  <c r="I15" i="1"/>
  <c r="H15" i="1"/>
  <c r="J14" i="1"/>
  <c r="I14" i="1"/>
  <c r="H14" i="1"/>
  <c r="J13" i="1"/>
  <c r="I13" i="1"/>
  <c r="H13" i="1"/>
  <c r="J12" i="1"/>
  <c r="I12" i="1"/>
  <c r="H12" i="1"/>
  <c r="J11" i="1"/>
  <c r="I11" i="1"/>
  <c r="H11" i="1"/>
  <c r="J10" i="1"/>
  <c r="I10" i="1"/>
  <c r="H10" i="1"/>
  <c r="J9" i="1"/>
  <c r="I9" i="1"/>
  <c r="H9" i="1"/>
  <c r="J8" i="1"/>
  <c r="I8" i="1"/>
  <c r="H8" i="1"/>
  <c r="J7" i="1"/>
  <c r="I7" i="1"/>
  <c r="H7" i="1"/>
  <c r="J6" i="1"/>
  <c r="I6" i="1"/>
  <c r="H6" i="1"/>
  <c r="J5" i="1"/>
  <c r="I5" i="1"/>
  <c r="H5" i="1"/>
  <c r="J4" i="1"/>
  <c r="E4" i="1"/>
  <c r="I4" i="1" s="1"/>
  <c r="J3" i="1"/>
  <c r="I3" i="1"/>
  <c r="H3" i="1"/>
  <c r="J2" i="1"/>
  <c r="I2" i="1"/>
  <c r="H2" i="1"/>
  <c r="D8" i="4"/>
  <c r="C8" i="4"/>
  <c r="B8" i="4"/>
  <c r="C2" i="4"/>
  <c r="D2" i="4"/>
  <c r="B2" i="4"/>
  <c r="H4" i="1" l="1"/>
</calcChain>
</file>

<file path=xl/sharedStrings.xml><?xml version="1.0" encoding="utf-8"?>
<sst xmlns="http://schemas.openxmlformats.org/spreadsheetml/2006/main" count="148" uniqueCount="108">
  <si>
    <t>BATSMAN</t>
  </si>
  <si>
    <t>MATCHES</t>
  </si>
  <si>
    <t>INNINGS</t>
  </si>
  <si>
    <t>RUNS</t>
  </si>
  <si>
    <t>STRIKERATE</t>
  </si>
  <si>
    <t>AVERAGE</t>
  </si>
  <si>
    <t>SIXES</t>
  </si>
  <si>
    <t>FOURS</t>
  </si>
  <si>
    <t>SHASHANK SHETTY</t>
  </si>
  <si>
    <t>VISHNU VY</t>
  </si>
  <si>
    <t>NIKHIL</t>
  </si>
  <si>
    <t>AKASH</t>
  </si>
  <si>
    <t>HONNUR SWAMY</t>
  </si>
  <si>
    <t>BHARGAV</t>
  </si>
  <si>
    <t>PRASHANTH</t>
  </si>
  <si>
    <t>AKSHAY</t>
  </si>
  <si>
    <t>NIHAAL</t>
  </si>
  <si>
    <t>GAUTHAM</t>
  </si>
  <si>
    <t>TUSHAR</t>
  </si>
  <si>
    <t>VIVEK</t>
  </si>
  <si>
    <t>JEEVAN</t>
  </si>
  <si>
    <t>MANOJ</t>
  </si>
  <si>
    <t>SUPREETH</t>
  </si>
  <si>
    <t>CHETHAN</t>
  </si>
  <si>
    <t>SHANMUKHA</t>
  </si>
  <si>
    <t>VITTAL</t>
  </si>
  <si>
    <t>MANJU</t>
  </si>
  <si>
    <t>ADNAN</t>
  </si>
  <si>
    <t>NOT OUTS</t>
  </si>
  <si>
    <t>BOWLER</t>
  </si>
  <si>
    <t>OVERS</t>
  </si>
  <si>
    <t>WICKETS</t>
  </si>
  <si>
    <t>ECONOMY</t>
  </si>
  <si>
    <t>STRIKE RATE</t>
  </si>
  <si>
    <t>3-W</t>
  </si>
  <si>
    <t>5-W</t>
  </si>
  <si>
    <t>UJWAL</t>
  </si>
  <si>
    <t>BEST</t>
  </si>
  <si>
    <t>2-0-13-2</t>
  </si>
  <si>
    <t>1-0-11-0</t>
  </si>
  <si>
    <t>2-0-14-2</t>
  </si>
  <si>
    <t>2-0-14-4</t>
  </si>
  <si>
    <t>ADARSH</t>
  </si>
  <si>
    <t>3-0-11-5</t>
  </si>
  <si>
    <t>1.1-0-8-3</t>
  </si>
  <si>
    <t>BALLS</t>
  </si>
  <si>
    <t>14(13)</t>
  </si>
  <si>
    <t>SHIVRAJ</t>
  </si>
  <si>
    <t>47(23)</t>
  </si>
  <si>
    <t>76(23)</t>
  </si>
  <si>
    <t>37(12)</t>
  </si>
  <si>
    <t>4(4)</t>
  </si>
  <si>
    <t>27(13)</t>
  </si>
  <si>
    <t>61(30)</t>
  </si>
  <si>
    <t>34(15)</t>
  </si>
  <si>
    <t>SAGAR</t>
  </si>
  <si>
    <t>ABHISHEK</t>
  </si>
  <si>
    <t>13(8)</t>
  </si>
  <si>
    <t>29(22)</t>
  </si>
  <si>
    <t>1(4)*</t>
  </si>
  <si>
    <t>6(1)*</t>
  </si>
  <si>
    <t>50</t>
  </si>
  <si>
    <t>1-0-1-3</t>
  </si>
  <si>
    <t>NITIN</t>
  </si>
  <si>
    <t>3-0-27-4</t>
  </si>
  <si>
    <t>25(20)*</t>
  </si>
  <si>
    <t>VANSH</t>
  </si>
  <si>
    <t>18(13)</t>
  </si>
  <si>
    <t>41(22)*</t>
  </si>
  <si>
    <t>Balls/bdry</t>
  </si>
  <si>
    <t>2-0-23-4</t>
  </si>
  <si>
    <t>10(15)</t>
  </si>
  <si>
    <t>5(7)*</t>
  </si>
  <si>
    <t>21(28)*</t>
  </si>
  <si>
    <t>41(28)*</t>
  </si>
  <si>
    <t>1-0-10-1</t>
  </si>
  <si>
    <t>15(15)</t>
  </si>
  <si>
    <t>7(6)*</t>
  </si>
  <si>
    <t>1-0-6-3</t>
  </si>
  <si>
    <t>2-0-28-4</t>
  </si>
  <si>
    <t>3-0-19-4</t>
  </si>
  <si>
    <t>0.3-0-0-1</t>
  </si>
  <si>
    <t>-</t>
  </si>
  <si>
    <t>25(10)</t>
  </si>
  <si>
    <t>17(9)</t>
  </si>
  <si>
    <t>WON</t>
  </si>
  <si>
    <t>LOST</t>
  </si>
  <si>
    <t>ELITE</t>
  </si>
  <si>
    <t>SERIES VS</t>
  </si>
  <si>
    <t>ZERO11</t>
  </si>
  <si>
    <t>DOMINATORS</t>
  </si>
  <si>
    <t>TIE</t>
  </si>
  <si>
    <t>MATCHES VS</t>
  </si>
  <si>
    <t>TOTAL</t>
  </si>
  <si>
    <t>3-0</t>
  </si>
  <si>
    <t>0-3</t>
  </si>
  <si>
    <t>1--2</t>
  </si>
  <si>
    <t>2--1</t>
  </si>
  <si>
    <t>1--1</t>
  </si>
  <si>
    <t>2-0</t>
  </si>
  <si>
    <t>0--2</t>
  </si>
  <si>
    <t>HPL-UPL</t>
  </si>
  <si>
    <t>S.NO</t>
  </si>
  <si>
    <t>56(16)*</t>
  </si>
  <si>
    <t>37(19)</t>
  </si>
  <si>
    <t>8(4)</t>
  </si>
  <si>
    <t>0.4-0-14-0</t>
  </si>
  <si>
    <t>84(27)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</si>
</sst>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1" fillId="0" borderId="0" xfId="0" applyFont="1"/>
    <xf numFmtId="0" fontId="5" fillId="3" borderId="0" xfId="0" applyFont="1" applyFill="1"/>
    <xf numFmtId="0" fontId="0" fillId="4" borderId="0" xfId="0" applyFill="1"/>
    <xf numFmtId="0" fontId="0" fillId="0" borderId="0" xfId="0" applyAlignment="1">
      <alignment horizontal="right"/>
    </xf>
    <xf numFmtId="0" fontId="0" fillId="5" borderId="0" xfId="0" applyFill="1"/>
    <xf numFmtId="16" fontId="0" fillId="0" borderId="0" xfId="0" applyNumberFormat="1"/>
    <xf numFmtId="0" fontId="4" fillId="4" borderId="0" xfId="0" applyFont="1" applyFill="1"/>
  </cellXfs>
  <cellStyles count="1">
    <cellStyle name="Normal" xfId="0" builtinId="0"/>
  </cellStyles>
  <dxfs count="16">
    <dxf>
      <alignment horizontal="center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43A5C8F-12F9-4454-B92E-3379EAEB1DC9}" name="Table2" displayName="Table2" ref="B1:N28" totalsRowShown="0" headerRowDxfId="15">
  <autoFilter ref="B1:N28" xr:uid="{E43A5C8F-12F9-4454-B92E-3379EAEB1DC9}"/>
  <sortState xmlns:xlrd2="http://schemas.microsoft.com/office/spreadsheetml/2017/richdata2" ref="B2:N28">
    <sortCondition descending="1" ref="E2:E29"/>
  </sortState>
  <tableColumns count="13">
    <tableColumn id="1" xr3:uid="{D395173F-99AF-4991-92C0-143206953450}" name="BATSMAN" dataDxfId="14" totalsRowDxfId="13"/>
    <tableColumn id="2" xr3:uid="{C7B6281E-AA04-47DA-9C7C-5CDD3904B3C4}" name="MATCHES"/>
    <tableColumn id="3" xr3:uid="{8CB1092C-3DBF-44A1-A290-7EA7696E2405}" name="INNINGS"/>
    <tableColumn id="4" xr3:uid="{3A35F95F-4BAE-4152-96D0-49B7A74730D9}" name="RUNS" dataDxfId="12" totalsRowDxfId="11"/>
    <tableColumn id="5" xr3:uid="{A1EE1966-CA00-4B32-AA5A-8399906D57AD}" name="BALLS"/>
    <tableColumn id="6" xr3:uid="{CE467D57-E7AF-4E99-832B-BA9E7AFD2817}" name="NOT OUTS"/>
    <tableColumn id="7" xr3:uid="{8CBF43C0-BB1C-4C8E-87E8-3AAD506D6606}" name="STRIKERATE" dataDxfId="10">
      <calculatedColumnFormula>ROUND((E2*100)/F2,4)</calculatedColumnFormula>
    </tableColumn>
    <tableColumn id="8" xr3:uid="{42B1608E-0AC5-40A3-B856-B47F25060CA7}" name="AVERAGE">
      <calculatedColumnFormula>ROUND(E2/(D2-G2),4)</calculatedColumnFormula>
    </tableColumn>
    <tableColumn id="13" xr3:uid="{3A1AACA1-107F-4ACB-9A5A-613BEE274CF9}" name="Balls/bdry" dataDxfId="9">
      <calculatedColumnFormula>ROUND(Table2[[#This Row],[BALLS]]/(Table2[[#This Row],[SIXES]]+Table2[[#This Row],[FOURS]]),4)</calculatedColumnFormula>
    </tableColumn>
    <tableColumn id="9" xr3:uid="{F9AB66DE-36A0-441E-A334-8FE4B141FB1E}" name="SIXES"/>
    <tableColumn id="10" xr3:uid="{84824BC5-A8B2-408C-837F-AF775A9C55D1}" name="FOURS"/>
    <tableColumn id="11" xr3:uid="{39BF8360-DEE2-4A33-BACD-BA262A2BA6BC}" name="50"/>
    <tableColumn id="12" xr3:uid="{F283CD44-EE12-4DF1-821D-A9E2461382E3}" name="BEST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9CCABD-FAA3-44E3-BBF3-A95C73EA284E}" name="Table3" displayName="Table3" ref="B1:L16" totalsRowShown="0" headerRowDxfId="7">
  <autoFilter ref="B1:L16" xr:uid="{849CCABD-FAA3-44E3-BBF3-A95C73EA284E}"/>
  <sortState xmlns:xlrd2="http://schemas.microsoft.com/office/spreadsheetml/2017/richdata2" ref="B2:L16">
    <sortCondition descending="1" ref="E2:E17"/>
  </sortState>
  <tableColumns count="11">
    <tableColumn id="1" xr3:uid="{80E2FED8-00F2-4924-A13D-17413101B0F7}" name="BOWLER" dataDxfId="6" totalsRowDxfId="5"/>
    <tableColumn id="2" xr3:uid="{7375AA1B-080B-43D2-BFD9-E85E49000DC6}" name="MATCHES"/>
    <tableColumn id="3" xr3:uid="{179CB30D-99DF-423D-8B03-EEA3B9C81EF1}" name="OVERS"/>
    <tableColumn id="5" xr3:uid="{6A8F8F11-A8E5-4C33-A3CE-059E74B020C6}" name="WICKETS" dataDxfId="4" totalsRowDxfId="3"/>
    <tableColumn id="6" xr3:uid="{835A140D-9600-4BAE-ACFB-C8CAA51F65E0}" name="RUNS"/>
    <tableColumn id="7" xr3:uid="{6A41E473-C6EA-4A82-866B-FF87E27F8285}" name="ECONOMY" dataDxfId="2">
      <calculatedColumnFormula>ROUND(F2*6 / (INT(D2)*6 + MOD(D2,1)*10),4)</calculatedColumnFormula>
    </tableColumn>
    <tableColumn id="8" xr3:uid="{881FF338-FFF5-4CDE-A447-76082A909374}" name="AVERAGE">
      <calculatedColumnFormula>F2/E2</calculatedColumnFormula>
    </tableColumn>
    <tableColumn id="9" xr3:uid="{CAC39A07-77D3-48EF-93FB-1A4AA1F0894D}" name="STRIKE RATE" dataDxfId="1">
      <calculatedColumnFormula>ROUND(IF(E2=0,"-", (INT(D2)*6 + MOD(D2,1)*10) / E2),4)</calculatedColumnFormula>
    </tableColumn>
    <tableColumn id="10" xr3:uid="{AE7C9D2A-8D41-4D54-BFBE-191468390592}" name="3-W"/>
    <tableColumn id="11" xr3:uid="{46149A76-D743-4BBD-81B6-A8F6B9F5DE53}" name="5-W"/>
    <tableColumn id="12" xr3:uid="{B077C0C9-3682-40C9-AA8E-5F966A9AD68E}" name="BEST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7109-6EC0-44A9-A26E-860519EDADCB}">
  <dimension ref="A1:N28"/>
  <sheetViews>
    <sheetView tabSelected="1" zoomScale="90" zoomScaleNormal="90" workbookViewId="0">
      <selection activeCell="D17" sqref="D17"/>
    </sheetView>
  </sheetViews>
  <sheetFormatPr defaultRowHeight="14.4" x14ac:dyDescent="0.3"/>
  <cols>
    <col min="1" max="1" width="5.44140625" bestFit="1" customWidth="1"/>
    <col min="2" max="2" width="18" bestFit="1" customWidth="1"/>
    <col min="3" max="3" width="13.6640625" bestFit="1" customWidth="1"/>
    <col min="4" max="4" width="12.5546875" bestFit="1" customWidth="1"/>
    <col min="5" max="5" width="9.33203125" bestFit="1" customWidth="1"/>
    <col min="6" max="6" width="9.88671875" bestFit="1" customWidth="1"/>
    <col min="7" max="7" width="13.88671875" bestFit="1" customWidth="1"/>
    <col min="8" max="8" width="15.6640625" bestFit="1" customWidth="1"/>
    <col min="9" max="9" width="13.33203125" bestFit="1" customWidth="1"/>
    <col min="10" max="10" width="14.109375" bestFit="1" customWidth="1"/>
    <col min="11" max="11" width="9.44140625" customWidth="1"/>
    <col min="12" max="12" width="10.5546875" bestFit="1" customWidth="1"/>
    <col min="13" max="13" width="6" bestFit="1" customWidth="1"/>
    <col min="14" max="14" width="8.6640625" bestFit="1" customWidth="1"/>
  </cols>
  <sheetData>
    <row r="1" spans="1:14" ht="17.399999999999999" x14ac:dyDescent="0.35">
      <c r="A1" s="6" t="s">
        <v>102</v>
      </c>
      <c r="B1" s="2" t="s">
        <v>0</v>
      </c>
      <c r="C1" s="2" t="s">
        <v>1</v>
      </c>
      <c r="D1" s="2" t="s">
        <v>2</v>
      </c>
      <c r="E1" s="3" t="s">
        <v>3</v>
      </c>
      <c r="F1" s="2" t="s">
        <v>45</v>
      </c>
      <c r="G1" s="2" t="s">
        <v>28</v>
      </c>
      <c r="H1" s="2" t="s">
        <v>4</v>
      </c>
      <c r="I1" s="2" t="s">
        <v>5</v>
      </c>
      <c r="J1" s="2" t="s">
        <v>69</v>
      </c>
      <c r="K1" s="2" t="s">
        <v>6</v>
      </c>
      <c r="L1" s="2" t="s">
        <v>7</v>
      </c>
      <c r="M1" s="2" t="s">
        <v>61</v>
      </c>
      <c r="N1" s="2" t="s">
        <v>37</v>
      </c>
    </row>
    <row r="2" spans="1:14" ht="15.6" x14ac:dyDescent="0.3">
      <c r="A2" s="7">
        <v>1</v>
      </c>
      <c r="B2" s="5" t="s">
        <v>12</v>
      </c>
      <c r="C2">
        <v>71</v>
      </c>
      <c r="D2">
        <v>64</v>
      </c>
      <c r="E2" s="4">
        <v>1271</v>
      </c>
      <c r="F2">
        <v>585</v>
      </c>
      <c r="G2">
        <v>5</v>
      </c>
      <c r="H2">
        <f t="shared" ref="H2:H28" si="0">ROUND((E2*100)/F2,4)</f>
        <v>217.26499999999999</v>
      </c>
      <c r="I2">
        <f t="shared" ref="I2:I27" si="1">ROUND(E2/(D2-G2),4)</f>
        <v>21.542400000000001</v>
      </c>
      <c r="J2">
        <f>ROUND(Table2[[#This Row],[BALLS]]/(Table2[[#This Row],[SIXES]]+Table2[[#This Row],[FOURS]]),4)</f>
        <v>2.7725</v>
      </c>
      <c r="K2">
        <v>129</v>
      </c>
      <c r="L2">
        <v>82</v>
      </c>
      <c r="M2">
        <v>4</v>
      </c>
      <c r="N2" s="8" t="s">
        <v>107</v>
      </c>
    </row>
    <row r="3" spans="1:14" ht="15.6" x14ac:dyDescent="0.3">
      <c r="A3" s="9">
        <v>2</v>
      </c>
      <c r="B3" s="5" t="s">
        <v>36</v>
      </c>
      <c r="C3">
        <v>57</v>
      </c>
      <c r="D3">
        <v>47</v>
      </c>
      <c r="E3" s="4">
        <v>835</v>
      </c>
      <c r="F3">
        <v>490</v>
      </c>
      <c r="G3">
        <v>8</v>
      </c>
      <c r="H3">
        <f t="shared" si="0"/>
        <v>170.40819999999999</v>
      </c>
      <c r="I3">
        <f t="shared" si="1"/>
        <v>21.410299999999999</v>
      </c>
      <c r="J3">
        <f>ROUND(Table2[[#This Row],[BALLS]]/(Table2[[#This Row],[SIXES]]+Table2[[#This Row],[FOURS]]),4)</f>
        <v>3.5766</v>
      </c>
      <c r="K3">
        <v>49</v>
      </c>
      <c r="L3">
        <v>88</v>
      </c>
      <c r="M3">
        <v>1</v>
      </c>
      <c r="N3" s="8" t="s">
        <v>49</v>
      </c>
    </row>
    <row r="4" spans="1:14" ht="15.6" x14ac:dyDescent="0.3">
      <c r="A4" s="7">
        <v>3</v>
      </c>
      <c r="B4" s="5" t="s">
        <v>11</v>
      </c>
      <c r="C4">
        <v>63</v>
      </c>
      <c r="D4">
        <v>55</v>
      </c>
      <c r="E4" s="4">
        <f>474+56</f>
        <v>530</v>
      </c>
      <c r="F4">
        <v>357</v>
      </c>
      <c r="G4">
        <v>9</v>
      </c>
      <c r="H4">
        <f t="shared" si="0"/>
        <v>148.45939999999999</v>
      </c>
      <c r="I4">
        <f t="shared" si="1"/>
        <v>11.521699999999999</v>
      </c>
      <c r="J4">
        <f>ROUND(Table2[[#This Row],[BALLS]]/(Table2[[#This Row],[SIXES]]+Table2[[#This Row],[FOURS]]),4)</f>
        <v>4.5769000000000002</v>
      </c>
      <c r="K4">
        <v>32</v>
      </c>
      <c r="L4">
        <v>46</v>
      </c>
      <c r="M4">
        <v>1</v>
      </c>
      <c r="N4" s="8" t="s">
        <v>103</v>
      </c>
    </row>
    <row r="5" spans="1:14" ht="15.6" x14ac:dyDescent="0.3">
      <c r="A5" s="9">
        <v>4</v>
      </c>
      <c r="B5" s="5" t="s">
        <v>9</v>
      </c>
      <c r="C5">
        <v>72</v>
      </c>
      <c r="D5">
        <v>58</v>
      </c>
      <c r="E5" s="4">
        <v>489</v>
      </c>
      <c r="F5">
        <v>354</v>
      </c>
      <c r="G5">
        <v>11</v>
      </c>
      <c r="H5">
        <f t="shared" si="0"/>
        <v>138.13560000000001</v>
      </c>
      <c r="I5">
        <f t="shared" si="1"/>
        <v>10.404299999999999</v>
      </c>
      <c r="J5">
        <f>ROUND(Table2[[#This Row],[BALLS]]/(Table2[[#This Row],[SIXES]]+Table2[[#This Row],[FOURS]]),4)</f>
        <v>4.5385</v>
      </c>
      <c r="K5">
        <v>35</v>
      </c>
      <c r="L5">
        <v>43</v>
      </c>
      <c r="M5">
        <v>1</v>
      </c>
      <c r="N5" s="8" t="s">
        <v>53</v>
      </c>
    </row>
    <row r="6" spans="1:14" ht="15.6" x14ac:dyDescent="0.3">
      <c r="A6" s="7">
        <v>5</v>
      </c>
      <c r="B6" s="5" t="s">
        <v>14</v>
      </c>
      <c r="C6">
        <v>49</v>
      </c>
      <c r="D6">
        <v>39</v>
      </c>
      <c r="E6" s="4">
        <v>417</v>
      </c>
      <c r="F6">
        <v>300</v>
      </c>
      <c r="G6">
        <v>7</v>
      </c>
      <c r="H6">
        <f t="shared" si="0"/>
        <v>139</v>
      </c>
      <c r="I6">
        <f t="shared" si="1"/>
        <v>13.0313</v>
      </c>
      <c r="J6">
        <f>ROUND(Table2[[#This Row],[BALLS]]/(Table2[[#This Row],[SIXES]]+Table2[[#This Row],[FOURS]]),4)</f>
        <v>4.9180000000000001</v>
      </c>
      <c r="K6">
        <v>21</v>
      </c>
      <c r="L6">
        <v>40</v>
      </c>
      <c r="M6">
        <v>0</v>
      </c>
      <c r="N6" s="8" t="s">
        <v>104</v>
      </c>
    </row>
    <row r="7" spans="1:14" ht="15.6" x14ac:dyDescent="0.3">
      <c r="A7" s="9">
        <v>6</v>
      </c>
      <c r="B7" s="5" t="s">
        <v>16</v>
      </c>
      <c r="C7">
        <v>51</v>
      </c>
      <c r="D7">
        <v>40</v>
      </c>
      <c r="E7" s="4">
        <v>309</v>
      </c>
      <c r="F7">
        <v>206</v>
      </c>
      <c r="G7">
        <v>7</v>
      </c>
      <c r="H7">
        <f t="shared" si="0"/>
        <v>150</v>
      </c>
      <c r="I7">
        <f t="shared" si="1"/>
        <v>9.3635999999999999</v>
      </c>
      <c r="J7">
        <f>ROUND(Table2[[#This Row],[BALLS]]/(Table2[[#This Row],[SIXES]]+Table2[[#This Row],[FOURS]]),4)</f>
        <v>4.4782999999999999</v>
      </c>
      <c r="K7">
        <v>29</v>
      </c>
      <c r="L7">
        <v>17</v>
      </c>
      <c r="M7">
        <v>0</v>
      </c>
      <c r="N7" s="8" t="s">
        <v>68</v>
      </c>
    </row>
    <row r="8" spans="1:14" ht="15.6" x14ac:dyDescent="0.3">
      <c r="A8" s="7">
        <v>7</v>
      </c>
      <c r="B8" s="5" t="s">
        <v>13</v>
      </c>
      <c r="C8">
        <v>43</v>
      </c>
      <c r="D8">
        <v>36</v>
      </c>
      <c r="E8" s="4">
        <v>273</v>
      </c>
      <c r="F8">
        <v>180</v>
      </c>
      <c r="G8">
        <v>4</v>
      </c>
      <c r="H8">
        <f t="shared" si="0"/>
        <v>151.66669999999999</v>
      </c>
      <c r="I8">
        <f t="shared" si="1"/>
        <v>8.5312999999999999</v>
      </c>
      <c r="J8">
        <f>ROUND(Table2[[#This Row],[BALLS]]/(Table2[[#This Row],[SIXES]]+Table2[[#This Row],[FOURS]]),4)</f>
        <v>4.5</v>
      </c>
      <c r="K8">
        <v>25</v>
      </c>
      <c r="L8">
        <v>15</v>
      </c>
      <c r="M8">
        <v>0</v>
      </c>
      <c r="N8" s="8" t="s">
        <v>54</v>
      </c>
    </row>
    <row r="9" spans="1:14" ht="15.6" x14ac:dyDescent="0.3">
      <c r="A9" s="9">
        <v>8</v>
      </c>
      <c r="B9" s="5" t="s">
        <v>10</v>
      </c>
      <c r="C9">
        <v>41</v>
      </c>
      <c r="D9">
        <v>29</v>
      </c>
      <c r="E9" s="4">
        <v>269</v>
      </c>
      <c r="F9">
        <v>176</v>
      </c>
      <c r="G9">
        <v>7</v>
      </c>
      <c r="H9">
        <f t="shared" si="0"/>
        <v>152.8409</v>
      </c>
      <c r="I9">
        <f t="shared" si="1"/>
        <v>12.2273</v>
      </c>
      <c r="J9">
        <f>ROUND(Table2[[#This Row],[BALLS]]/(Table2[[#This Row],[SIXES]]+Table2[[#This Row],[FOURS]]),4)</f>
        <v>4.093</v>
      </c>
      <c r="K9">
        <v>18</v>
      </c>
      <c r="L9">
        <v>25</v>
      </c>
      <c r="M9">
        <v>0</v>
      </c>
      <c r="N9" s="8" t="s">
        <v>48</v>
      </c>
    </row>
    <row r="10" spans="1:14" ht="15.6" x14ac:dyDescent="0.3">
      <c r="A10" s="7">
        <v>9</v>
      </c>
      <c r="B10" s="5" t="s">
        <v>8</v>
      </c>
      <c r="C10">
        <v>91</v>
      </c>
      <c r="D10">
        <v>46</v>
      </c>
      <c r="E10" s="4">
        <v>263</v>
      </c>
      <c r="F10">
        <v>247</v>
      </c>
      <c r="G10">
        <v>16</v>
      </c>
      <c r="H10">
        <f t="shared" si="0"/>
        <v>106.4777</v>
      </c>
      <c r="I10">
        <f t="shared" si="1"/>
        <v>8.7667000000000002</v>
      </c>
      <c r="J10">
        <f>ROUND(Table2[[#This Row],[BALLS]]/(Table2[[#This Row],[SIXES]]+Table2[[#This Row],[FOURS]]),4)</f>
        <v>6.8611000000000004</v>
      </c>
      <c r="K10">
        <v>10</v>
      </c>
      <c r="L10">
        <v>26</v>
      </c>
      <c r="M10">
        <v>0</v>
      </c>
      <c r="N10" s="8" t="s">
        <v>65</v>
      </c>
    </row>
    <row r="11" spans="1:14" ht="15.6" x14ac:dyDescent="0.3">
      <c r="A11" s="9">
        <v>10</v>
      </c>
      <c r="B11" s="5" t="s">
        <v>15</v>
      </c>
      <c r="C11">
        <v>42</v>
      </c>
      <c r="D11">
        <v>29</v>
      </c>
      <c r="E11" s="4">
        <v>221</v>
      </c>
      <c r="F11">
        <v>202</v>
      </c>
      <c r="G11">
        <v>13</v>
      </c>
      <c r="H11">
        <f t="shared" si="0"/>
        <v>109.4059</v>
      </c>
      <c r="I11">
        <f t="shared" si="1"/>
        <v>13.8125</v>
      </c>
      <c r="J11">
        <f>ROUND(Table2[[#This Row],[BALLS]]/(Table2[[#This Row],[SIXES]]+Table2[[#This Row],[FOURS]]),4)</f>
        <v>6.9654999999999996</v>
      </c>
      <c r="K11">
        <v>6</v>
      </c>
      <c r="L11">
        <v>23</v>
      </c>
      <c r="M11">
        <v>0</v>
      </c>
      <c r="N11" s="8" t="s">
        <v>74</v>
      </c>
    </row>
    <row r="12" spans="1:14" ht="15.6" x14ac:dyDescent="0.3">
      <c r="A12" s="7">
        <v>11</v>
      </c>
      <c r="B12" s="5" t="s">
        <v>47</v>
      </c>
      <c r="C12">
        <v>31</v>
      </c>
      <c r="D12">
        <v>21</v>
      </c>
      <c r="E12" s="4">
        <v>213</v>
      </c>
      <c r="F12">
        <v>164</v>
      </c>
      <c r="G12">
        <v>4</v>
      </c>
      <c r="H12">
        <f t="shared" si="0"/>
        <v>129.87799999999999</v>
      </c>
      <c r="I12">
        <f t="shared" si="1"/>
        <v>12.529400000000001</v>
      </c>
      <c r="J12">
        <f>ROUND(Table2[[#This Row],[BALLS]]/(Table2[[#This Row],[SIXES]]+Table2[[#This Row],[FOURS]]),4)</f>
        <v>5.6551999999999998</v>
      </c>
      <c r="K12">
        <v>12</v>
      </c>
      <c r="L12">
        <v>17</v>
      </c>
      <c r="M12">
        <v>0</v>
      </c>
      <c r="N12" s="8" t="s">
        <v>52</v>
      </c>
    </row>
    <row r="13" spans="1:14" ht="15.6" x14ac:dyDescent="0.3">
      <c r="A13" s="9">
        <v>12</v>
      </c>
      <c r="B13" s="5" t="s">
        <v>20</v>
      </c>
      <c r="C13">
        <v>51</v>
      </c>
      <c r="D13">
        <v>21</v>
      </c>
      <c r="E13" s="4">
        <v>104</v>
      </c>
      <c r="F13">
        <v>97</v>
      </c>
      <c r="G13">
        <v>8</v>
      </c>
      <c r="H13">
        <f t="shared" si="0"/>
        <v>107.2165</v>
      </c>
      <c r="I13">
        <f t="shared" si="1"/>
        <v>8</v>
      </c>
      <c r="J13">
        <f>ROUND(Table2[[#This Row],[BALLS]]/(Table2[[#This Row],[SIXES]]+Table2[[#This Row],[FOURS]]),4)</f>
        <v>8.8181999999999992</v>
      </c>
      <c r="K13">
        <v>0</v>
      </c>
      <c r="L13">
        <v>11</v>
      </c>
      <c r="M13">
        <v>0</v>
      </c>
      <c r="N13" s="8" t="s">
        <v>67</v>
      </c>
    </row>
    <row r="14" spans="1:14" ht="15.6" x14ac:dyDescent="0.3">
      <c r="A14" s="7">
        <v>13</v>
      </c>
      <c r="B14" s="5" t="s">
        <v>21</v>
      </c>
      <c r="C14">
        <v>40</v>
      </c>
      <c r="D14">
        <v>18</v>
      </c>
      <c r="E14" s="4">
        <v>90</v>
      </c>
      <c r="F14">
        <v>87</v>
      </c>
      <c r="G14">
        <v>8</v>
      </c>
      <c r="H14">
        <f t="shared" si="0"/>
        <v>103.4483</v>
      </c>
      <c r="I14">
        <f t="shared" si="1"/>
        <v>9</v>
      </c>
      <c r="J14">
        <f>ROUND(Table2[[#This Row],[BALLS]]/(Table2[[#This Row],[SIXES]]+Table2[[#This Row],[FOURS]]),4)</f>
        <v>8.6999999999999993</v>
      </c>
      <c r="K14">
        <v>1</v>
      </c>
      <c r="L14">
        <v>9</v>
      </c>
      <c r="M14">
        <v>0</v>
      </c>
      <c r="N14" s="8" t="s">
        <v>84</v>
      </c>
    </row>
    <row r="15" spans="1:14" ht="15.6" x14ac:dyDescent="0.3">
      <c r="A15" s="9">
        <v>14</v>
      </c>
      <c r="B15" s="5" t="s">
        <v>63</v>
      </c>
      <c r="C15">
        <v>24</v>
      </c>
      <c r="D15">
        <v>17</v>
      </c>
      <c r="E15" s="4">
        <v>84</v>
      </c>
      <c r="F15">
        <v>70</v>
      </c>
      <c r="G15">
        <v>3</v>
      </c>
      <c r="H15">
        <f t="shared" si="0"/>
        <v>120</v>
      </c>
      <c r="I15">
        <f t="shared" si="1"/>
        <v>6</v>
      </c>
      <c r="J15">
        <f>ROUND(Table2[[#This Row],[BALLS]]/(Table2[[#This Row],[SIXES]]+Table2[[#This Row],[FOURS]]),4)</f>
        <v>7</v>
      </c>
      <c r="K15">
        <v>5</v>
      </c>
      <c r="L15">
        <v>5</v>
      </c>
      <c r="M15">
        <v>0</v>
      </c>
      <c r="N15" s="8" t="s">
        <v>83</v>
      </c>
    </row>
    <row r="16" spans="1:14" ht="15.6" x14ac:dyDescent="0.3">
      <c r="A16" s="7">
        <v>15</v>
      </c>
      <c r="B16" s="5" t="s">
        <v>18</v>
      </c>
      <c r="C16">
        <v>29</v>
      </c>
      <c r="D16">
        <v>19</v>
      </c>
      <c r="E16" s="4">
        <v>55</v>
      </c>
      <c r="F16">
        <v>69</v>
      </c>
      <c r="G16">
        <v>1</v>
      </c>
      <c r="H16">
        <f t="shared" si="0"/>
        <v>79.710099999999997</v>
      </c>
      <c r="I16">
        <f t="shared" si="1"/>
        <v>3.0556000000000001</v>
      </c>
      <c r="J16">
        <f>ROUND(Table2[[#This Row],[BALLS]]/(Table2[[#This Row],[SIXES]]+Table2[[#This Row],[FOURS]]),4)</f>
        <v>13.8</v>
      </c>
      <c r="K16">
        <v>0</v>
      </c>
      <c r="L16">
        <v>5</v>
      </c>
      <c r="M16">
        <v>0</v>
      </c>
      <c r="N16" s="8" t="s">
        <v>76</v>
      </c>
    </row>
    <row r="17" spans="1:14" ht="15.6" x14ac:dyDescent="0.3">
      <c r="A17" s="9">
        <v>16</v>
      </c>
      <c r="B17" s="5" t="s">
        <v>27</v>
      </c>
      <c r="C17">
        <v>12</v>
      </c>
      <c r="D17">
        <v>9</v>
      </c>
      <c r="E17" s="4">
        <v>50</v>
      </c>
      <c r="F17">
        <v>57</v>
      </c>
      <c r="G17">
        <v>2</v>
      </c>
      <c r="H17">
        <f t="shared" si="0"/>
        <v>87.719300000000004</v>
      </c>
      <c r="I17">
        <f t="shared" si="1"/>
        <v>7.1429</v>
      </c>
      <c r="J17">
        <f>ROUND(Table2[[#This Row],[BALLS]]/(Table2[[#This Row],[SIXES]]+Table2[[#This Row],[FOURS]]),4)</f>
        <v>5.7</v>
      </c>
      <c r="K17">
        <v>2</v>
      </c>
      <c r="L17">
        <v>8</v>
      </c>
      <c r="M17">
        <v>0</v>
      </c>
      <c r="N17" s="8" t="s">
        <v>50</v>
      </c>
    </row>
    <row r="18" spans="1:14" ht="15.6" x14ac:dyDescent="0.3">
      <c r="A18" s="7">
        <v>17</v>
      </c>
      <c r="B18" s="5" t="s">
        <v>19</v>
      </c>
      <c r="C18">
        <v>28</v>
      </c>
      <c r="D18">
        <v>14</v>
      </c>
      <c r="E18" s="4">
        <v>45</v>
      </c>
      <c r="F18">
        <v>51</v>
      </c>
      <c r="G18">
        <v>4</v>
      </c>
      <c r="H18">
        <f t="shared" si="0"/>
        <v>88.235299999999995</v>
      </c>
      <c r="I18">
        <f t="shared" si="1"/>
        <v>4.5</v>
      </c>
      <c r="J18">
        <f>ROUND(Table2[[#This Row],[BALLS]]/(Table2[[#This Row],[SIXES]]+Table2[[#This Row],[FOURS]]),4)</f>
        <v>8.5</v>
      </c>
      <c r="K18">
        <v>1</v>
      </c>
      <c r="L18">
        <v>5</v>
      </c>
      <c r="M18">
        <v>0</v>
      </c>
      <c r="N18" s="8" t="s">
        <v>77</v>
      </c>
    </row>
    <row r="19" spans="1:14" ht="15.6" x14ac:dyDescent="0.3">
      <c r="A19" s="9">
        <v>18</v>
      </c>
      <c r="B19" s="5" t="s">
        <v>25</v>
      </c>
      <c r="C19">
        <v>5</v>
      </c>
      <c r="D19">
        <v>4</v>
      </c>
      <c r="E19" s="4">
        <v>38</v>
      </c>
      <c r="F19">
        <v>40</v>
      </c>
      <c r="G19">
        <v>2</v>
      </c>
      <c r="H19">
        <f t="shared" si="0"/>
        <v>95</v>
      </c>
      <c r="I19">
        <f t="shared" si="1"/>
        <v>19</v>
      </c>
      <c r="J19">
        <f>ROUND(Table2[[#This Row],[BALLS]]/(Table2[[#This Row],[SIXES]]+Table2[[#This Row],[FOURS]]),4)</f>
        <v>10</v>
      </c>
      <c r="K19">
        <v>1</v>
      </c>
      <c r="L19">
        <v>3</v>
      </c>
      <c r="M19">
        <v>0</v>
      </c>
      <c r="N19" s="8" t="s">
        <v>58</v>
      </c>
    </row>
    <row r="20" spans="1:14" ht="15.6" x14ac:dyDescent="0.3">
      <c r="A20" s="7">
        <v>19</v>
      </c>
      <c r="B20" s="5" t="s">
        <v>22</v>
      </c>
      <c r="C20">
        <v>18</v>
      </c>
      <c r="D20">
        <v>9</v>
      </c>
      <c r="E20" s="4">
        <v>36</v>
      </c>
      <c r="F20">
        <v>44</v>
      </c>
      <c r="G20">
        <v>2</v>
      </c>
      <c r="H20">
        <f t="shared" si="0"/>
        <v>81.818200000000004</v>
      </c>
      <c r="I20">
        <f t="shared" si="1"/>
        <v>5.1429</v>
      </c>
      <c r="J20">
        <f>ROUND(Table2[[#This Row],[BALLS]]/(Table2[[#This Row],[SIXES]]+Table2[[#This Row],[FOURS]]),4)</f>
        <v>22</v>
      </c>
      <c r="K20">
        <v>0</v>
      </c>
      <c r="L20">
        <v>2</v>
      </c>
      <c r="M20">
        <v>0</v>
      </c>
      <c r="N20" s="8" t="s">
        <v>71</v>
      </c>
    </row>
    <row r="21" spans="1:14" ht="15.6" x14ac:dyDescent="0.3">
      <c r="A21" s="9">
        <v>20</v>
      </c>
      <c r="B21" s="5" t="s">
        <v>23</v>
      </c>
      <c r="C21">
        <v>16</v>
      </c>
      <c r="D21">
        <v>7</v>
      </c>
      <c r="E21" s="4">
        <v>30</v>
      </c>
      <c r="F21">
        <v>44</v>
      </c>
      <c r="G21">
        <v>1</v>
      </c>
      <c r="H21">
        <f t="shared" si="0"/>
        <v>68.181799999999996</v>
      </c>
      <c r="I21">
        <f t="shared" si="1"/>
        <v>5</v>
      </c>
      <c r="J21">
        <f>ROUND(Table2[[#This Row],[BALLS]]/(Table2[[#This Row],[SIXES]]+Table2[[#This Row],[FOURS]]),4)</f>
        <v>44</v>
      </c>
      <c r="K21">
        <v>0</v>
      </c>
      <c r="L21">
        <v>1</v>
      </c>
      <c r="M21">
        <v>0</v>
      </c>
      <c r="N21" s="8" t="s">
        <v>73</v>
      </c>
    </row>
    <row r="22" spans="1:14" ht="15.6" x14ac:dyDescent="0.3">
      <c r="A22" s="7">
        <v>21</v>
      </c>
      <c r="B22" s="5" t="s">
        <v>55</v>
      </c>
      <c r="C22">
        <v>13</v>
      </c>
      <c r="D22">
        <v>9</v>
      </c>
      <c r="E22" s="4">
        <v>27</v>
      </c>
      <c r="F22">
        <v>44</v>
      </c>
      <c r="G22">
        <v>2</v>
      </c>
      <c r="H22">
        <f t="shared" si="0"/>
        <v>61.363599999999998</v>
      </c>
      <c r="I22">
        <f t="shared" si="1"/>
        <v>3.8571</v>
      </c>
      <c r="J22">
        <f>ROUND(Table2[[#This Row],[BALLS]]/(Table2[[#This Row],[SIXES]]+Table2[[#This Row],[FOURS]]),4)</f>
        <v>14.666700000000001</v>
      </c>
      <c r="K22">
        <v>0</v>
      </c>
      <c r="L22">
        <v>3</v>
      </c>
      <c r="M22">
        <v>0</v>
      </c>
      <c r="N22" s="8" t="s">
        <v>105</v>
      </c>
    </row>
    <row r="23" spans="1:14" ht="15.6" x14ac:dyDescent="0.3">
      <c r="A23" s="9">
        <v>22</v>
      </c>
      <c r="B23" s="5" t="s">
        <v>56</v>
      </c>
      <c r="C23">
        <v>5</v>
      </c>
      <c r="D23">
        <v>2</v>
      </c>
      <c r="E23" s="4">
        <v>17</v>
      </c>
      <c r="F23">
        <v>14</v>
      </c>
      <c r="G23">
        <v>0</v>
      </c>
      <c r="H23">
        <f t="shared" si="0"/>
        <v>121.4286</v>
      </c>
      <c r="I23">
        <f t="shared" si="1"/>
        <v>8.5</v>
      </c>
      <c r="J23">
        <f>ROUND(Table2[[#This Row],[BALLS]]/(Table2[[#This Row],[SIXES]]+Table2[[#This Row],[FOURS]]),4)</f>
        <v>4.6666999999999996</v>
      </c>
      <c r="K23">
        <v>0</v>
      </c>
      <c r="L23">
        <v>3</v>
      </c>
      <c r="M23">
        <v>0</v>
      </c>
      <c r="N23" s="8" t="s">
        <v>57</v>
      </c>
    </row>
    <row r="24" spans="1:14" ht="15.6" x14ac:dyDescent="0.3">
      <c r="A24" s="7">
        <v>23</v>
      </c>
      <c r="B24" s="5" t="s">
        <v>17</v>
      </c>
      <c r="C24">
        <v>8</v>
      </c>
      <c r="D24">
        <v>5</v>
      </c>
      <c r="E24" s="4">
        <v>16</v>
      </c>
      <c r="F24">
        <v>22</v>
      </c>
      <c r="G24">
        <v>2</v>
      </c>
      <c r="H24">
        <f t="shared" si="0"/>
        <v>72.7273</v>
      </c>
      <c r="I24">
        <f t="shared" si="1"/>
        <v>5.3333000000000004</v>
      </c>
      <c r="J24">
        <f>ROUND(Table2[[#This Row],[BALLS]]/(Table2[[#This Row],[SIXES]]+Table2[[#This Row],[FOURS]]),4)</f>
        <v>22</v>
      </c>
      <c r="K24">
        <v>0</v>
      </c>
      <c r="L24">
        <v>1</v>
      </c>
      <c r="M24">
        <v>0</v>
      </c>
      <c r="N24" s="8" t="s">
        <v>46</v>
      </c>
    </row>
    <row r="25" spans="1:14" ht="15.6" x14ac:dyDescent="0.3">
      <c r="A25" s="9">
        <v>24</v>
      </c>
      <c r="B25" s="5" t="s">
        <v>66</v>
      </c>
      <c r="C25">
        <v>17</v>
      </c>
      <c r="D25">
        <v>6</v>
      </c>
      <c r="E25" s="4">
        <v>9</v>
      </c>
      <c r="F25">
        <v>9</v>
      </c>
      <c r="G25">
        <v>3</v>
      </c>
      <c r="H25">
        <f t="shared" si="0"/>
        <v>100</v>
      </c>
      <c r="I25">
        <f t="shared" si="1"/>
        <v>3</v>
      </c>
      <c r="J25">
        <f>ROUND(Table2[[#This Row],[BALLS]]/(Table2[[#This Row],[SIXES]]+Table2[[#This Row],[FOURS]]),4)</f>
        <v>9</v>
      </c>
      <c r="K25">
        <v>1</v>
      </c>
      <c r="L25">
        <v>0</v>
      </c>
      <c r="M25">
        <v>0</v>
      </c>
      <c r="N25" s="8" t="s">
        <v>60</v>
      </c>
    </row>
    <row r="26" spans="1:14" ht="15.6" x14ac:dyDescent="0.3">
      <c r="A26" s="7">
        <v>25</v>
      </c>
      <c r="B26" s="5" t="s">
        <v>24</v>
      </c>
      <c r="C26">
        <v>10</v>
      </c>
      <c r="D26">
        <v>3</v>
      </c>
      <c r="E26" s="4">
        <v>9</v>
      </c>
      <c r="F26">
        <v>16</v>
      </c>
      <c r="G26">
        <v>1</v>
      </c>
      <c r="H26">
        <f t="shared" si="0"/>
        <v>56.25</v>
      </c>
      <c r="I26">
        <f t="shared" si="1"/>
        <v>4.5</v>
      </c>
      <c r="J26">
        <f>ROUND(Table2[[#This Row],[BALLS]]/(Table2[[#This Row],[SIXES]]+Table2[[#This Row],[FOURS]]),4)</f>
        <v>16</v>
      </c>
      <c r="K26">
        <v>0</v>
      </c>
      <c r="L26">
        <v>1</v>
      </c>
      <c r="M26">
        <v>0</v>
      </c>
      <c r="N26" s="8" t="s">
        <v>72</v>
      </c>
    </row>
    <row r="27" spans="1:14" ht="15.6" x14ac:dyDescent="0.3">
      <c r="A27" s="9">
        <v>26</v>
      </c>
      <c r="B27" s="5" t="s">
        <v>42</v>
      </c>
      <c r="C27">
        <v>4</v>
      </c>
      <c r="D27">
        <v>4</v>
      </c>
      <c r="E27" s="4">
        <v>8</v>
      </c>
      <c r="F27">
        <v>11</v>
      </c>
      <c r="G27">
        <v>2</v>
      </c>
      <c r="H27">
        <f t="shared" si="0"/>
        <v>72.7273</v>
      </c>
      <c r="I27">
        <f t="shared" si="1"/>
        <v>4</v>
      </c>
      <c r="J27">
        <f>ROUND(Table2[[#This Row],[BALLS]]/(Table2[[#This Row],[SIXES]]+Table2[[#This Row],[FOURS]]),4)</f>
        <v>11</v>
      </c>
      <c r="K27">
        <v>0</v>
      </c>
      <c r="L27">
        <v>1</v>
      </c>
      <c r="M27">
        <v>0</v>
      </c>
      <c r="N27" s="8" t="s">
        <v>51</v>
      </c>
    </row>
    <row r="28" spans="1:14" ht="15.6" x14ac:dyDescent="0.3">
      <c r="A28" s="7">
        <v>27</v>
      </c>
      <c r="B28" s="5" t="s">
        <v>26</v>
      </c>
      <c r="C28">
        <v>2</v>
      </c>
      <c r="D28">
        <v>1</v>
      </c>
      <c r="E28" s="4">
        <v>1</v>
      </c>
      <c r="F28">
        <v>4</v>
      </c>
      <c r="G28">
        <v>1</v>
      </c>
      <c r="H28">
        <f t="shared" si="0"/>
        <v>25</v>
      </c>
      <c r="I28">
        <v>0</v>
      </c>
      <c r="J28">
        <v>0</v>
      </c>
      <c r="K28">
        <v>0</v>
      </c>
      <c r="L28">
        <v>0</v>
      </c>
      <c r="M28">
        <v>0</v>
      </c>
      <c r="N28" s="8" t="s">
        <v>59</v>
      </c>
    </row>
  </sheetData>
  <sortState xmlns:xlrd2="http://schemas.microsoft.com/office/spreadsheetml/2017/richdata2" ref="B1:N26">
    <sortCondition descending="1" ref="E1:E26"/>
  </sortState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616E-F3DB-4D8F-85B2-3BB9324C57EE}">
  <dimension ref="A1:L16"/>
  <sheetViews>
    <sheetView zoomScale="108" zoomScaleNormal="167" workbookViewId="0">
      <selection sqref="A1:L16"/>
    </sheetView>
  </sheetViews>
  <sheetFormatPr defaultRowHeight="14.4" x14ac:dyDescent="0.3"/>
  <cols>
    <col min="1" max="1" width="4.77734375" customWidth="1"/>
    <col min="2" max="2" width="16.88671875" customWidth="1"/>
    <col min="3" max="3" width="11.88671875" customWidth="1"/>
    <col min="4" max="4" width="8.88671875" customWidth="1"/>
    <col min="5" max="5" width="11.5546875" customWidth="1"/>
    <col min="6" max="6" width="7.6640625" customWidth="1"/>
    <col min="7" max="7" width="12.33203125" customWidth="1"/>
    <col min="8" max="8" width="11.44140625" customWidth="1"/>
    <col min="9" max="9" width="14.6640625" customWidth="1"/>
    <col min="10" max="11" width="6.21875" customWidth="1"/>
    <col min="12" max="12" width="8.44140625" customWidth="1"/>
  </cols>
  <sheetData>
    <row r="1" spans="1:12" ht="17.399999999999999" x14ac:dyDescent="0.35">
      <c r="A1" s="6" t="s">
        <v>102</v>
      </c>
      <c r="B1" s="2" t="s">
        <v>29</v>
      </c>
      <c r="C1" s="2" t="s">
        <v>1</v>
      </c>
      <c r="D1" s="2" t="s">
        <v>30</v>
      </c>
      <c r="E1" s="3" t="s">
        <v>31</v>
      </c>
      <c r="F1" s="2" t="s">
        <v>3</v>
      </c>
      <c r="G1" s="2" t="s">
        <v>32</v>
      </c>
      <c r="H1" s="2" t="s">
        <v>5</v>
      </c>
      <c r="I1" s="2" t="s">
        <v>33</v>
      </c>
      <c r="J1" s="2" t="s">
        <v>34</v>
      </c>
      <c r="K1" s="2" t="s">
        <v>35</v>
      </c>
      <c r="L1" s="2" t="s">
        <v>37</v>
      </c>
    </row>
    <row r="2" spans="1:12" ht="15.6" x14ac:dyDescent="0.3">
      <c r="A2" s="7">
        <v>1</v>
      </c>
      <c r="B2" s="5" t="s">
        <v>8</v>
      </c>
      <c r="C2">
        <v>91</v>
      </c>
      <c r="D2">
        <v>144</v>
      </c>
      <c r="E2" s="11">
        <v>101</v>
      </c>
      <c r="F2">
        <v>1434</v>
      </c>
      <c r="G2">
        <f t="shared" ref="G2:G16" si="0">ROUND(F2*6 / (INT(D2)*6 + MOD(D2,1)*10),4)</f>
        <v>9.9582999999999995</v>
      </c>
      <c r="H2">
        <f t="shared" ref="H2:H14" si="1">ROUND(F2/E2,4)</f>
        <v>14.198</v>
      </c>
      <c r="I2">
        <f t="shared" ref="I2:I14" si="2">ROUND(IF(E2=0,"-", (INT(D2)*6 + MOD(D2,1)*10) / E2),4)</f>
        <v>8.5545000000000009</v>
      </c>
      <c r="J2">
        <v>10</v>
      </c>
      <c r="K2">
        <v>2</v>
      </c>
      <c r="L2" t="s">
        <v>43</v>
      </c>
    </row>
    <row r="3" spans="1:12" ht="15.6" x14ac:dyDescent="0.3">
      <c r="A3">
        <v>2</v>
      </c>
      <c r="B3" s="5" t="s">
        <v>12</v>
      </c>
      <c r="C3">
        <v>71</v>
      </c>
      <c r="D3">
        <v>124.4</v>
      </c>
      <c r="E3" s="4">
        <v>72</v>
      </c>
      <c r="F3">
        <v>1382</v>
      </c>
      <c r="G3">
        <f t="shared" si="0"/>
        <v>11.085599999999999</v>
      </c>
      <c r="H3">
        <f t="shared" si="1"/>
        <v>19.194400000000002</v>
      </c>
      <c r="I3">
        <f t="shared" si="2"/>
        <v>10.3889</v>
      </c>
      <c r="J3">
        <v>8</v>
      </c>
      <c r="K3">
        <v>0</v>
      </c>
      <c r="L3" t="s">
        <v>64</v>
      </c>
    </row>
    <row r="4" spans="1:12" ht="15.6" x14ac:dyDescent="0.3">
      <c r="A4" s="7">
        <v>3</v>
      </c>
      <c r="B4" s="5" t="s">
        <v>36</v>
      </c>
      <c r="C4">
        <v>57</v>
      </c>
      <c r="D4">
        <v>99.5</v>
      </c>
      <c r="E4" s="4">
        <v>69</v>
      </c>
      <c r="F4">
        <v>1054</v>
      </c>
      <c r="G4">
        <f t="shared" si="0"/>
        <v>10.557600000000001</v>
      </c>
      <c r="H4">
        <f t="shared" si="1"/>
        <v>15.275399999999999</v>
      </c>
      <c r="I4">
        <f t="shared" si="2"/>
        <v>8.6812000000000005</v>
      </c>
      <c r="J4">
        <v>5</v>
      </c>
      <c r="K4">
        <v>0</v>
      </c>
      <c r="L4" t="s">
        <v>79</v>
      </c>
    </row>
    <row r="5" spans="1:12" ht="15.6" x14ac:dyDescent="0.3">
      <c r="A5">
        <v>4</v>
      </c>
      <c r="B5" s="5" t="s">
        <v>14</v>
      </c>
      <c r="C5">
        <v>49</v>
      </c>
      <c r="D5">
        <v>80</v>
      </c>
      <c r="E5" s="4">
        <v>53</v>
      </c>
      <c r="F5">
        <v>822</v>
      </c>
      <c r="G5">
        <f t="shared" si="0"/>
        <v>10.275</v>
      </c>
      <c r="H5">
        <f t="shared" si="1"/>
        <v>15.509399999999999</v>
      </c>
      <c r="I5">
        <f t="shared" si="2"/>
        <v>9.0565999999999995</v>
      </c>
      <c r="J5">
        <v>8</v>
      </c>
      <c r="K5">
        <v>0</v>
      </c>
      <c r="L5" t="s">
        <v>70</v>
      </c>
    </row>
    <row r="6" spans="1:12" ht="15.6" x14ac:dyDescent="0.3">
      <c r="A6" s="7">
        <v>5</v>
      </c>
      <c r="B6" s="5" t="s">
        <v>9</v>
      </c>
      <c r="C6">
        <v>72</v>
      </c>
      <c r="D6">
        <v>69.3</v>
      </c>
      <c r="E6" s="4">
        <v>50</v>
      </c>
      <c r="F6">
        <v>724</v>
      </c>
      <c r="G6">
        <f t="shared" si="0"/>
        <v>10.417299999999999</v>
      </c>
      <c r="H6">
        <f t="shared" si="1"/>
        <v>14.48</v>
      </c>
      <c r="I6">
        <f t="shared" si="2"/>
        <v>8.34</v>
      </c>
      <c r="J6">
        <v>5</v>
      </c>
      <c r="K6">
        <v>0</v>
      </c>
      <c r="L6" t="s">
        <v>78</v>
      </c>
    </row>
    <row r="7" spans="1:12" ht="15.6" x14ac:dyDescent="0.3">
      <c r="A7">
        <v>6</v>
      </c>
      <c r="B7" s="5" t="s">
        <v>20</v>
      </c>
      <c r="C7">
        <v>51</v>
      </c>
      <c r="D7">
        <v>46.2</v>
      </c>
      <c r="E7" s="4">
        <v>27</v>
      </c>
      <c r="F7">
        <v>410</v>
      </c>
      <c r="G7">
        <f t="shared" si="0"/>
        <v>8.8489000000000004</v>
      </c>
      <c r="H7">
        <f t="shared" si="1"/>
        <v>15.1852</v>
      </c>
      <c r="I7">
        <f t="shared" si="2"/>
        <v>10.2963</v>
      </c>
      <c r="J7">
        <v>2</v>
      </c>
      <c r="K7">
        <v>0</v>
      </c>
      <c r="L7" t="s">
        <v>62</v>
      </c>
    </row>
    <row r="8" spans="1:12" ht="15.6" x14ac:dyDescent="0.3">
      <c r="A8" s="7">
        <v>7</v>
      </c>
      <c r="B8" s="5" t="s">
        <v>21</v>
      </c>
      <c r="C8">
        <v>40</v>
      </c>
      <c r="D8">
        <v>33.5</v>
      </c>
      <c r="E8" s="4">
        <v>25</v>
      </c>
      <c r="F8">
        <v>316</v>
      </c>
      <c r="G8">
        <f t="shared" si="0"/>
        <v>9.3399000000000001</v>
      </c>
      <c r="H8">
        <f t="shared" si="1"/>
        <v>12.64</v>
      </c>
      <c r="I8">
        <f t="shared" si="2"/>
        <v>8.1199999999999992</v>
      </c>
      <c r="J8">
        <v>3</v>
      </c>
      <c r="K8">
        <v>0</v>
      </c>
      <c r="L8" t="s">
        <v>44</v>
      </c>
    </row>
    <row r="9" spans="1:12" ht="15.6" x14ac:dyDescent="0.3">
      <c r="A9">
        <v>8</v>
      </c>
      <c r="B9" s="5" t="s">
        <v>18</v>
      </c>
      <c r="C9">
        <v>29</v>
      </c>
      <c r="D9">
        <v>38</v>
      </c>
      <c r="E9" s="4">
        <v>25</v>
      </c>
      <c r="F9">
        <v>367</v>
      </c>
      <c r="G9">
        <f t="shared" si="0"/>
        <v>9.6578999999999997</v>
      </c>
      <c r="H9">
        <f t="shared" si="1"/>
        <v>14.68</v>
      </c>
      <c r="I9">
        <f t="shared" si="2"/>
        <v>9.1199999999999992</v>
      </c>
      <c r="J9">
        <v>2</v>
      </c>
      <c r="K9">
        <v>0</v>
      </c>
      <c r="L9" t="s">
        <v>41</v>
      </c>
    </row>
    <row r="10" spans="1:12" ht="15.6" x14ac:dyDescent="0.3">
      <c r="A10" s="7">
        <v>9</v>
      </c>
      <c r="B10" s="5" t="s">
        <v>63</v>
      </c>
      <c r="C10">
        <v>24</v>
      </c>
      <c r="D10">
        <v>30.3</v>
      </c>
      <c r="E10" s="4">
        <v>20</v>
      </c>
      <c r="F10">
        <v>261</v>
      </c>
      <c r="G10">
        <f t="shared" si="0"/>
        <v>8.5573999999999995</v>
      </c>
      <c r="H10">
        <f t="shared" si="1"/>
        <v>13.05</v>
      </c>
      <c r="I10">
        <f t="shared" si="2"/>
        <v>9.15</v>
      </c>
      <c r="J10">
        <v>2</v>
      </c>
      <c r="K10">
        <v>0</v>
      </c>
      <c r="L10" t="s">
        <v>80</v>
      </c>
    </row>
    <row r="11" spans="1:12" ht="15.6" x14ac:dyDescent="0.3">
      <c r="A11">
        <v>10</v>
      </c>
      <c r="B11" s="5" t="s">
        <v>22</v>
      </c>
      <c r="C11">
        <v>18</v>
      </c>
      <c r="D11">
        <v>15.2</v>
      </c>
      <c r="E11" s="4">
        <v>13</v>
      </c>
      <c r="F11">
        <v>151</v>
      </c>
      <c r="G11">
        <f t="shared" si="0"/>
        <v>9.8477999999999994</v>
      </c>
      <c r="H11">
        <f t="shared" si="1"/>
        <v>11.615399999999999</v>
      </c>
      <c r="I11">
        <f t="shared" si="2"/>
        <v>7.0769000000000002</v>
      </c>
      <c r="J11">
        <v>0</v>
      </c>
      <c r="K11">
        <v>0</v>
      </c>
      <c r="L11" t="s">
        <v>40</v>
      </c>
    </row>
    <row r="12" spans="1:12" ht="15.6" x14ac:dyDescent="0.3">
      <c r="A12" s="7">
        <v>11</v>
      </c>
      <c r="B12" s="5" t="s">
        <v>10</v>
      </c>
      <c r="C12">
        <v>41</v>
      </c>
      <c r="D12">
        <v>6</v>
      </c>
      <c r="E12" s="4">
        <v>3</v>
      </c>
      <c r="F12">
        <v>73</v>
      </c>
      <c r="G12">
        <f t="shared" si="0"/>
        <v>12.166700000000001</v>
      </c>
      <c r="H12">
        <f t="shared" si="1"/>
        <v>24.333300000000001</v>
      </c>
      <c r="I12">
        <f t="shared" si="2"/>
        <v>12</v>
      </c>
      <c r="J12">
        <v>0</v>
      </c>
      <c r="K12">
        <v>0</v>
      </c>
      <c r="L12" s="1" t="s">
        <v>75</v>
      </c>
    </row>
    <row r="13" spans="1:12" ht="15.6" x14ac:dyDescent="0.3">
      <c r="A13" s="9">
        <v>12</v>
      </c>
      <c r="B13" s="5" t="s">
        <v>27</v>
      </c>
      <c r="C13">
        <v>12</v>
      </c>
      <c r="D13">
        <v>9</v>
      </c>
      <c r="E13" s="4">
        <v>3</v>
      </c>
      <c r="F13">
        <v>129</v>
      </c>
      <c r="G13">
        <f t="shared" si="0"/>
        <v>14.333299999999999</v>
      </c>
      <c r="H13">
        <f t="shared" si="1"/>
        <v>43</v>
      </c>
      <c r="I13">
        <f t="shared" si="2"/>
        <v>18</v>
      </c>
      <c r="J13">
        <v>0</v>
      </c>
      <c r="K13">
        <v>0</v>
      </c>
      <c r="L13" t="s">
        <v>38</v>
      </c>
    </row>
    <row r="14" spans="1:12" ht="15.6" x14ac:dyDescent="0.3">
      <c r="A14" s="7">
        <v>13</v>
      </c>
      <c r="B14" s="5" t="s">
        <v>11</v>
      </c>
      <c r="C14">
        <v>63</v>
      </c>
      <c r="D14">
        <v>1.3</v>
      </c>
      <c r="E14" s="4">
        <v>1</v>
      </c>
      <c r="F14">
        <v>8</v>
      </c>
      <c r="G14">
        <f t="shared" si="0"/>
        <v>5.3333000000000004</v>
      </c>
      <c r="H14">
        <f t="shared" si="1"/>
        <v>8</v>
      </c>
      <c r="I14">
        <f t="shared" si="2"/>
        <v>9</v>
      </c>
      <c r="J14">
        <v>0</v>
      </c>
      <c r="K14">
        <v>0</v>
      </c>
      <c r="L14" t="s">
        <v>81</v>
      </c>
    </row>
    <row r="15" spans="1:12" ht="15.6" x14ac:dyDescent="0.3">
      <c r="A15" s="9">
        <v>14</v>
      </c>
      <c r="B15" s="5" t="s">
        <v>13</v>
      </c>
      <c r="C15">
        <v>43</v>
      </c>
      <c r="D15">
        <v>2</v>
      </c>
      <c r="E15" s="4">
        <v>0</v>
      </c>
      <c r="F15">
        <v>23</v>
      </c>
      <c r="G15">
        <f t="shared" si="0"/>
        <v>11.5</v>
      </c>
      <c r="H15" t="s">
        <v>82</v>
      </c>
      <c r="I15" t="s">
        <v>82</v>
      </c>
      <c r="J15">
        <v>0</v>
      </c>
      <c r="K15">
        <v>0</v>
      </c>
      <c r="L15" t="s">
        <v>39</v>
      </c>
    </row>
    <row r="16" spans="1:12" ht="15.6" x14ac:dyDescent="0.3">
      <c r="A16" s="7">
        <v>15</v>
      </c>
      <c r="B16" s="5" t="s">
        <v>23</v>
      </c>
      <c r="C16">
        <v>16</v>
      </c>
      <c r="D16">
        <v>0.4</v>
      </c>
      <c r="E16" s="4">
        <v>0</v>
      </c>
      <c r="F16">
        <v>14</v>
      </c>
      <c r="G16">
        <f t="shared" si="0"/>
        <v>21</v>
      </c>
      <c r="H16" t="s">
        <v>82</v>
      </c>
      <c r="I16" t="s">
        <v>82</v>
      </c>
      <c r="J16">
        <v>0</v>
      </c>
      <c r="K16">
        <v>0</v>
      </c>
      <c r="L16" t="s">
        <v>106</v>
      </c>
    </row>
  </sheetData>
  <sortState xmlns:xlrd2="http://schemas.microsoft.com/office/spreadsheetml/2017/richdata2" ref="B2:L13">
    <sortCondition descending="1" ref="E2:E13"/>
  </sortState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B887-64F8-4337-9B52-E22F29787ECA}">
  <dimension ref="A1:O12"/>
  <sheetViews>
    <sheetView workbookViewId="0">
      <selection activeCell="I19" sqref="I19"/>
    </sheetView>
  </sheetViews>
  <sheetFormatPr defaultRowHeight="14.4" x14ac:dyDescent="0.3"/>
  <cols>
    <col min="1" max="1" width="11.44140625" bestFit="1" customWidth="1"/>
    <col min="2" max="2" width="5.21875" bestFit="1" customWidth="1"/>
    <col min="3" max="3" width="7.33203125" bestFit="1" customWidth="1"/>
    <col min="4" max="4" width="12.21875" bestFit="1" customWidth="1"/>
    <col min="11" max="11" width="12.21875" bestFit="1" customWidth="1"/>
  </cols>
  <sheetData>
    <row r="1" spans="1:15" x14ac:dyDescent="0.3">
      <c r="A1" t="s">
        <v>88</v>
      </c>
      <c r="B1" t="s">
        <v>87</v>
      </c>
      <c r="C1" t="s">
        <v>89</v>
      </c>
      <c r="D1" t="s">
        <v>90</v>
      </c>
      <c r="H1" t="s">
        <v>87</v>
      </c>
      <c r="K1" t="s">
        <v>90</v>
      </c>
      <c r="N1" t="s">
        <v>89</v>
      </c>
    </row>
    <row r="2" spans="1:15" x14ac:dyDescent="0.3">
      <c r="A2" t="s">
        <v>93</v>
      </c>
      <c r="B2">
        <f>B3+B4+B5</f>
        <v>10</v>
      </c>
      <c r="C2">
        <f t="shared" ref="C2:D2" si="0">C3+C4+C5</f>
        <v>1</v>
      </c>
      <c r="D2">
        <f t="shared" si="0"/>
        <v>2</v>
      </c>
      <c r="H2" t="s">
        <v>95</v>
      </c>
      <c r="I2" s="10">
        <v>46033</v>
      </c>
      <c r="K2" s="10" t="s">
        <v>97</v>
      </c>
      <c r="L2" s="10">
        <v>46143</v>
      </c>
      <c r="N2" t="s">
        <v>100</v>
      </c>
      <c r="O2" s="10">
        <v>46146</v>
      </c>
    </row>
    <row r="3" spans="1:15" x14ac:dyDescent="0.3">
      <c r="A3" t="s">
        <v>85</v>
      </c>
      <c r="B3">
        <v>5</v>
      </c>
      <c r="C3">
        <v>0</v>
      </c>
      <c r="D3">
        <v>1</v>
      </c>
      <c r="H3" t="s">
        <v>94</v>
      </c>
      <c r="I3" s="10">
        <v>46038</v>
      </c>
      <c r="K3" t="s">
        <v>96</v>
      </c>
      <c r="L3" s="10">
        <v>46147</v>
      </c>
    </row>
    <row r="4" spans="1:15" x14ac:dyDescent="0.3">
      <c r="A4" t="s">
        <v>86</v>
      </c>
      <c r="B4">
        <v>3</v>
      </c>
      <c r="C4">
        <v>1</v>
      </c>
      <c r="D4">
        <v>1</v>
      </c>
      <c r="H4" s="10" t="s">
        <v>96</v>
      </c>
      <c r="I4" s="10">
        <v>46042</v>
      </c>
    </row>
    <row r="5" spans="1:15" x14ac:dyDescent="0.3">
      <c r="A5" t="s">
        <v>91</v>
      </c>
      <c r="B5">
        <v>2</v>
      </c>
      <c r="C5">
        <v>0</v>
      </c>
      <c r="D5">
        <v>0</v>
      </c>
      <c r="H5" s="10" t="s">
        <v>97</v>
      </c>
      <c r="I5" s="10">
        <v>46071</v>
      </c>
    </row>
    <row r="6" spans="1:15" x14ac:dyDescent="0.3">
      <c r="H6" s="10" t="s">
        <v>98</v>
      </c>
      <c r="I6" s="10">
        <v>46076</v>
      </c>
    </row>
    <row r="7" spans="1:15" x14ac:dyDescent="0.3">
      <c r="A7" t="s">
        <v>92</v>
      </c>
      <c r="B7" t="s">
        <v>87</v>
      </c>
      <c r="C7" t="s">
        <v>89</v>
      </c>
      <c r="D7" t="s">
        <v>90</v>
      </c>
      <c r="H7" s="10" t="s">
        <v>98</v>
      </c>
      <c r="I7" s="10">
        <v>46080</v>
      </c>
    </row>
    <row r="8" spans="1:15" x14ac:dyDescent="0.3">
      <c r="A8" t="s">
        <v>93</v>
      </c>
      <c r="B8">
        <f>B9+B10+B11</f>
        <v>28</v>
      </c>
      <c r="C8">
        <f t="shared" ref="C8" si="1">C9+C10+C11</f>
        <v>2</v>
      </c>
      <c r="D8">
        <f t="shared" ref="D8" si="2">D9+D10+D11</f>
        <v>6</v>
      </c>
      <c r="H8" s="10" t="s">
        <v>96</v>
      </c>
      <c r="I8" s="10">
        <v>46093</v>
      </c>
    </row>
    <row r="9" spans="1:15" x14ac:dyDescent="0.3">
      <c r="A9" t="s">
        <v>85</v>
      </c>
      <c r="B9">
        <v>16</v>
      </c>
      <c r="C9">
        <v>0</v>
      </c>
      <c r="D9">
        <v>3</v>
      </c>
      <c r="H9" s="10" t="s">
        <v>99</v>
      </c>
      <c r="I9" s="10">
        <v>46118</v>
      </c>
    </row>
    <row r="10" spans="1:15" x14ac:dyDescent="0.3">
      <c r="A10" t="s">
        <v>86</v>
      </c>
      <c r="B10">
        <v>12</v>
      </c>
      <c r="C10">
        <v>2</v>
      </c>
      <c r="D10">
        <v>3</v>
      </c>
      <c r="H10" s="10" t="s">
        <v>99</v>
      </c>
      <c r="I10" s="10">
        <v>46129</v>
      </c>
    </row>
    <row r="11" spans="1:15" x14ac:dyDescent="0.3">
      <c r="A11" t="s">
        <v>91</v>
      </c>
      <c r="B11">
        <v>0</v>
      </c>
      <c r="C11">
        <v>0</v>
      </c>
      <c r="D11">
        <v>0</v>
      </c>
      <c r="H11" s="10" t="s">
        <v>97</v>
      </c>
      <c r="I11" s="10">
        <v>46187</v>
      </c>
    </row>
    <row r="12" spans="1:15" x14ac:dyDescent="0.3">
      <c r="H12" s="10" t="s">
        <v>98</v>
      </c>
      <c r="I12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BATTING</vt:lpstr>
      <vt:lpstr>BOWLING</vt:lpstr>
      <vt:lpstr>TEAM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Shashank Shetty</dc:creator>
  <cp:lastModifiedBy>Shashank Shetty</cp:lastModifiedBy>
  <dcterms:created xsi:type="dcterms:W3CDTF">2026-02-23T16:53:46Z</dcterms:created>
  <dcterms:modified xsi:type="dcterms:W3CDTF">2026-06-26T13:08:25Z</dcterms:modified>
</cp:coreProperties>
</file>