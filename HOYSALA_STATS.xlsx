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30D885EB-553A-4547-9065-0B7998966EFC}" xr6:coauthVersionLast="47" xr6:coauthVersionMax="47" xr10:uidLastSave="{00000000-0000-0000-0000-000000000000}"/>
  <bookViews>
    <workbookView xWindow="11424" yWindow="0" windowWidth="11712" windowHeight="13056" activeTab="1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<sst xmlns="http://schemas.openxmlformats.org/spreadsheetml/2006/main" count="168" uniqueCount="124">
  <si>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</si>
  <si>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</si>
  <si>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</si>
  <si>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</si>
  <si>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</si>
  <si>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</si>
  <si>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</si>
  <si>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</si>
  <si>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</si>
  <si>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</si>
  <si>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</si>
  <si>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</si>
  <si>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</si>
  <si>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</si>
  <si>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</si>
  <si>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</si>
  <si>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</si>
  <si>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</si>
  <si>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</si>
  <si>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</si>
  <si>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</si>
  <si>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</si>
  <si>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</si>
  <si>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</si>
  <si>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</si>
  <si>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</si>
  <si>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</si>
  <si>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</si>
  <si>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</si>
  <si>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</si>
  <si>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</si>
  <si>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</si>
  <si>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</si>
  <si>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</si>
  <si>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</si>
  <si>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</si>
  <si>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</si>
  <si>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</si>
  <si>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</si>
  <si>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</si>
  <si>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</si>
  <si>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</si>
  <si>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</si>
  <si>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</si>
  <si>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</si>
  <si>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</si>
  <si>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</si>
  <si>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</si>
  <si>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</si>
  <si>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</si>
  <si>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</si>
  <si>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</si>
  <si>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</si>
  <si>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</si>
  <si>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</si>
  <si>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</si>
  <si>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</si>
  <si>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</si>
  <si>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</si>
  <si>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</si>
  <si>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</si>
  <si>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</si>
  <si>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</si>
  <si>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</si>
  <si>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</si>
  <si>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</si>
  <si>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</si>
  <si>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</si>
  <si>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</si>
  <si>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</si>
  <si>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</si>
  <si>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</si>
  <si>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</si>
  <si>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</si>
  <si>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</si>
  <si>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</si>
  <si>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</si>
  <si>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</si>
  <si>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</si>
  <si>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</si>
  <si>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</si>
  <si>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</si>
  <si>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</si>
  <si>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</si>
  <si>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</si>
  <si>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</si>
  <si>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</si>
  <si>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</si>
  <si>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</si>
  <si>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1-0-7-0</t>
  </si>
  <si>
    <t>3-0-22-5</t>
  </si>
  <si>
    <t>100</t>
  </si>
  <si>
    <t>11(8)</t>
  </si>
  <si>
    <t>14(10)</t>
  </si>
  <si>
    <t>4*(1)</t>
  </si>
  <si>
    <t>2(5)</t>
  </si>
  <si>
    <t>72(28)</t>
  </si>
  <si>
    <t>1-0-5-2</t>
  </si>
  <si>
    <t>2-0-8-3</t>
  </si>
  <si>
    <t>2-0-18-2</t>
  </si>
  <si>
    <t>1.3-0-4-3</t>
  </si>
  <si>
    <t>2*(2)</t>
  </si>
  <si>
    <t>NITHIN</t>
  </si>
  <si>
    <t>2-0-34-3</t>
  </si>
  <si>
    <t>0(1)</t>
  </si>
  <si>
    <t>2(3)</t>
  </si>
  <si>
    <t>3(4)</t>
  </si>
  <si>
    <t>1-0-8-1</t>
  </si>
  <si>
    <t>114*(35)</t>
  </si>
  <si>
    <t>30(18)</t>
  </si>
  <si>
    <t>0(2)</t>
  </si>
  <si>
    <t>9(7)</t>
  </si>
  <si>
    <t>7(4)</t>
  </si>
  <si>
    <t>4(3)</t>
  </si>
  <si>
    <t>4*(3)</t>
  </si>
  <si>
    <t>13*(9)</t>
  </si>
  <si>
    <t>JASWANTH</t>
  </si>
  <si>
    <t>6(5)</t>
  </si>
  <si>
    <t>1(5)</t>
  </si>
  <si>
    <t>3-0-47-1</t>
  </si>
  <si>
    <t>2-0-39-2</t>
  </si>
  <si>
    <t>1-0-19-0</t>
  </si>
  <si>
    <t>2-0-23-2</t>
  </si>
  <si>
    <t>2-0-41-0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</si>
</sst>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5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4" totalsRowDxfId="1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 totalsRowDxfId="1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1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2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0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" totalsRowDxfId="9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0" totalsRowDxfId="8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2"/>
  <sheetViews>
    <sheetView zoomScale="64" zoomScaleNormal="64" workbookViewId="0">
      <selection activeCell="D22" sqref="D22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91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101</v>
      </c>
      <c r="D2">
        <v>90</v>
      </c>
      <c r="E2" s="4">
        <v>2024</v>
      </c>
      <c r="F2">
        <v>897</v>
      </c>
      <c r="G2">
        <v>11</v>
      </c>
      <c r="H2">
        <f t="shared" ref="H2:H22" si="0">ROUND((E2*100)/F2,4)</f>
        <v>225.64099999999999</v>
      </c>
      <c r="I2">
        <f t="shared" ref="I2:I22" si="1">ROUND(E2/(D2-G2),4)</f>
        <v>25.6203</v>
      </c>
      <c r="J2">
        <f t="shared" ref="J2:J22" si="2">ROUND(F2/(K2+L2),4)</f>
        <v>2.5556000000000001</v>
      </c>
      <c r="K2">
        <v>206</v>
      </c>
      <c r="L2">
        <v>145</v>
      </c>
      <c r="M2">
        <v>6</v>
      </c>
      <c r="N2">
        <v>2</v>
      </c>
      <c r="O2" s="8" t="s">
        <v>108</v>
      </c>
      <c r="P2" t="s">
        <v>109</v>
      </c>
    </row>
    <row r="3" spans="1:16" ht="15.6" x14ac:dyDescent="0.3">
      <c r="A3" s="9">
        <v>2</v>
      </c>
      <c r="B3" s="5" t="s">
        <v>32</v>
      </c>
      <c r="C3">
        <v>81</v>
      </c>
      <c r="D3">
        <v>71</v>
      </c>
      <c r="E3" s="4">
        <v>1135</v>
      </c>
      <c r="F3">
        <v>666</v>
      </c>
      <c r="G3">
        <v>10</v>
      </c>
      <c r="H3">
        <f t="shared" si="0"/>
        <v>170.4204</v>
      </c>
      <c r="I3">
        <f t="shared" si="1"/>
        <v>18.6066</v>
      </c>
      <c r="J3">
        <f t="shared" si="2"/>
        <v>3.5615000000000001</v>
      </c>
      <c r="K3">
        <v>73</v>
      </c>
      <c r="L3">
        <v>114</v>
      </c>
      <c r="M3">
        <v>1</v>
      </c>
      <c r="N3">
        <v>0</v>
      </c>
      <c r="O3" s="8" t="s">
        <v>43</v>
      </c>
      <c r="P3" t="s">
        <v>110</v>
      </c>
    </row>
    <row r="4" spans="1:16" ht="15.6" x14ac:dyDescent="0.3">
      <c r="A4" s="7">
        <v>3</v>
      </c>
      <c r="B4" s="5" t="s">
        <v>11</v>
      </c>
      <c r="C4">
        <v>91</v>
      </c>
      <c r="D4">
        <v>76</v>
      </c>
      <c r="E4" s="4">
        <v>836</v>
      </c>
      <c r="F4">
        <v>532</v>
      </c>
      <c r="G4">
        <v>12</v>
      </c>
      <c r="H4">
        <f t="shared" si="0"/>
        <v>157.1429</v>
      </c>
      <c r="I4">
        <f t="shared" si="1"/>
        <v>13.0625</v>
      </c>
      <c r="J4">
        <f t="shared" si="2"/>
        <v>4.3251999999999997</v>
      </c>
      <c r="K4">
        <v>57</v>
      </c>
      <c r="L4">
        <v>66</v>
      </c>
      <c r="M4">
        <v>2</v>
      </c>
      <c r="N4">
        <v>0</v>
      </c>
      <c r="O4" s="8" t="s">
        <v>82</v>
      </c>
      <c r="P4" t="s">
        <v>101</v>
      </c>
    </row>
    <row r="5" spans="1:16" ht="15.6" x14ac:dyDescent="0.3">
      <c r="A5" s="9">
        <v>4</v>
      </c>
      <c r="B5" s="5" t="s">
        <v>9</v>
      </c>
      <c r="C5">
        <v>104</v>
      </c>
      <c r="D5">
        <v>85</v>
      </c>
      <c r="E5" s="4">
        <v>686</v>
      </c>
      <c r="F5">
        <v>529</v>
      </c>
      <c r="G5">
        <v>18</v>
      </c>
      <c r="H5">
        <f t="shared" si="0"/>
        <v>129.67859999999999</v>
      </c>
      <c r="I5">
        <f t="shared" si="1"/>
        <v>10.238799999999999</v>
      </c>
      <c r="J5">
        <f t="shared" si="2"/>
        <v>5.0381</v>
      </c>
      <c r="K5">
        <v>45</v>
      </c>
      <c r="L5">
        <v>60</v>
      </c>
      <c r="M5">
        <v>1</v>
      </c>
      <c r="N5">
        <v>0</v>
      </c>
      <c r="O5" s="8" t="s">
        <v>45</v>
      </c>
      <c r="P5" t="s">
        <v>95</v>
      </c>
    </row>
    <row r="6" spans="1:16" ht="15.6" x14ac:dyDescent="0.3">
      <c r="A6" s="7">
        <v>5</v>
      </c>
      <c r="B6" s="5" t="s">
        <v>14</v>
      </c>
      <c r="C6">
        <v>68</v>
      </c>
      <c r="D6">
        <v>56</v>
      </c>
      <c r="E6" s="4">
        <v>565</v>
      </c>
      <c r="F6">
        <v>396</v>
      </c>
      <c r="G6">
        <v>11</v>
      </c>
      <c r="H6">
        <f t="shared" si="0"/>
        <v>142.67679999999999</v>
      </c>
      <c r="I6">
        <f t="shared" si="1"/>
        <v>12.5556</v>
      </c>
      <c r="J6">
        <f t="shared" si="2"/>
        <v>4.6588000000000003</v>
      </c>
      <c r="K6">
        <v>28</v>
      </c>
      <c r="L6">
        <v>57</v>
      </c>
      <c r="M6">
        <v>0</v>
      </c>
      <c r="N6">
        <v>0</v>
      </c>
      <c r="O6" s="8" t="s">
        <v>83</v>
      </c>
      <c r="P6" t="s">
        <v>111</v>
      </c>
    </row>
    <row r="7" spans="1:16" ht="15.6" x14ac:dyDescent="0.3">
      <c r="A7" s="9">
        <v>6</v>
      </c>
      <c r="B7" s="5" t="s">
        <v>10</v>
      </c>
      <c r="C7">
        <v>51</v>
      </c>
      <c r="D7">
        <v>38</v>
      </c>
      <c r="E7" s="4">
        <v>366</v>
      </c>
      <c r="F7">
        <v>230</v>
      </c>
      <c r="G7">
        <v>8</v>
      </c>
      <c r="H7">
        <f t="shared" si="0"/>
        <v>159.13040000000001</v>
      </c>
      <c r="I7">
        <f t="shared" si="1"/>
        <v>12.2</v>
      </c>
      <c r="J7">
        <f t="shared" si="2"/>
        <v>3.9655</v>
      </c>
      <c r="K7">
        <v>27</v>
      </c>
      <c r="L7">
        <v>31</v>
      </c>
      <c r="M7">
        <v>0</v>
      </c>
      <c r="N7">
        <v>0</v>
      </c>
      <c r="O7" s="8" t="s">
        <v>42</v>
      </c>
      <c r="P7" t="s">
        <v>104</v>
      </c>
    </row>
    <row r="8" spans="1:16" ht="15.6" x14ac:dyDescent="0.3">
      <c r="A8" s="7">
        <v>7</v>
      </c>
      <c r="B8" s="5" t="s">
        <v>8</v>
      </c>
      <c r="C8">
        <v>119</v>
      </c>
      <c r="D8">
        <v>60</v>
      </c>
      <c r="E8" s="4">
        <v>356</v>
      </c>
      <c r="F8">
        <v>326</v>
      </c>
      <c r="G8">
        <v>21</v>
      </c>
      <c r="H8">
        <f t="shared" si="0"/>
        <v>109.2025</v>
      </c>
      <c r="I8">
        <f t="shared" si="1"/>
        <v>9.1281999999999996</v>
      </c>
      <c r="J8">
        <f t="shared" si="2"/>
        <v>6.9362000000000004</v>
      </c>
      <c r="K8">
        <v>14</v>
      </c>
      <c r="L8">
        <v>33</v>
      </c>
      <c r="M8">
        <v>0</v>
      </c>
      <c r="N8">
        <v>0</v>
      </c>
      <c r="O8" s="8" t="s">
        <v>50</v>
      </c>
      <c r="P8" t="s">
        <v>112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 t="shared" si="0"/>
        <v>146.0094</v>
      </c>
      <c r="I9">
        <f t="shared" si="1"/>
        <v>9.1471</v>
      </c>
      <c r="J9">
        <f t="shared" si="2"/>
        <v>4.6303999999999998</v>
      </c>
      <c r="K9">
        <v>29</v>
      </c>
      <c r="L9">
        <v>17</v>
      </c>
      <c r="M9">
        <v>0</v>
      </c>
      <c r="N9">
        <v>0</v>
      </c>
      <c r="O9" s="8" t="s">
        <v>52</v>
      </c>
      <c r="P9" t="s">
        <v>88</v>
      </c>
    </row>
    <row r="10" spans="1:16" ht="15.6" x14ac:dyDescent="0.3">
      <c r="A10" s="7">
        <v>9</v>
      </c>
      <c r="B10" s="5" t="s">
        <v>13</v>
      </c>
      <c r="C10">
        <v>59</v>
      </c>
      <c r="D10">
        <v>48</v>
      </c>
      <c r="E10" s="4">
        <v>308</v>
      </c>
      <c r="F10">
        <v>218</v>
      </c>
      <c r="G10">
        <v>5</v>
      </c>
      <c r="H10">
        <f t="shared" si="0"/>
        <v>141.28440000000001</v>
      </c>
      <c r="I10">
        <f t="shared" si="1"/>
        <v>7.1627999999999998</v>
      </c>
      <c r="J10">
        <f t="shared" si="2"/>
        <v>4.8444000000000003</v>
      </c>
      <c r="K10">
        <v>26</v>
      </c>
      <c r="L10">
        <v>19</v>
      </c>
      <c r="M10">
        <v>0</v>
      </c>
      <c r="N10">
        <v>0</v>
      </c>
      <c r="O10" s="8" t="s">
        <v>46</v>
      </c>
      <c r="P10" t="s">
        <v>113</v>
      </c>
    </row>
    <row r="11" spans="1:16" ht="15.6" x14ac:dyDescent="0.3">
      <c r="A11" s="9">
        <v>10</v>
      </c>
      <c r="B11" s="5" t="s">
        <v>41</v>
      </c>
      <c r="C11">
        <v>40</v>
      </c>
      <c r="D11">
        <v>27</v>
      </c>
      <c r="E11" s="4">
        <v>296</v>
      </c>
      <c r="F11">
        <v>205</v>
      </c>
      <c r="G11">
        <v>5</v>
      </c>
      <c r="H11">
        <f t="shared" si="0"/>
        <v>144.39019999999999</v>
      </c>
      <c r="I11">
        <f t="shared" si="1"/>
        <v>13.454499999999999</v>
      </c>
      <c r="J11">
        <f t="shared" si="2"/>
        <v>4.6590999999999996</v>
      </c>
      <c r="K11">
        <v>19</v>
      </c>
      <c r="L11">
        <v>25</v>
      </c>
      <c r="M11">
        <v>1</v>
      </c>
      <c r="N11">
        <v>0</v>
      </c>
      <c r="O11" s="8" t="s">
        <v>96</v>
      </c>
      <c r="P11" t="s">
        <v>96</v>
      </c>
    </row>
    <row r="12" spans="1:16" ht="15.6" x14ac:dyDescent="0.3">
      <c r="A12" s="7">
        <v>11</v>
      </c>
      <c r="B12" s="5" t="s">
        <v>15</v>
      </c>
      <c r="C12">
        <v>55</v>
      </c>
      <c r="D12">
        <v>36</v>
      </c>
      <c r="E12" s="4">
        <v>246</v>
      </c>
      <c r="F12">
        <v>233</v>
      </c>
      <c r="G12">
        <v>17</v>
      </c>
      <c r="H12">
        <f t="shared" si="0"/>
        <v>105.57940000000001</v>
      </c>
      <c r="I12">
        <f t="shared" si="1"/>
        <v>12.9474</v>
      </c>
      <c r="J12">
        <f t="shared" si="2"/>
        <v>7.5160999999999998</v>
      </c>
      <c r="K12">
        <v>6</v>
      </c>
      <c r="L12">
        <v>25</v>
      </c>
      <c r="M12">
        <v>0</v>
      </c>
      <c r="N12">
        <v>0</v>
      </c>
      <c r="O12" s="8" t="s">
        <v>57</v>
      </c>
      <c r="P12" t="s">
        <v>105</v>
      </c>
    </row>
    <row r="13" spans="1:16" ht="15.6" x14ac:dyDescent="0.3">
      <c r="A13" s="9">
        <v>12</v>
      </c>
      <c r="B13" s="5" t="s">
        <v>102</v>
      </c>
      <c r="C13">
        <v>39</v>
      </c>
      <c r="D13">
        <v>24</v>
      </c>
      <c r="E13" s="4">
        <v>159</v>
      </c>
      <c r="F13">
        <v>114</v>
      </c>
      <c r="G13">
        <v>6</v>
      </c>
      <c r="H13">
        <f t="shared" si="0"/>
        <v>139.47370000000001</v>
      </c>
      <c r="I13">
        <f t="shared" si="1"/>
        <v>8.8332999999999995</v>
      </c>
      <c r="J13">
        <f t="shared" si="2"/>
        <v>5.7</v>
      </c>
      <c r="K13">
        <v>9</v>
      </c>
      <c r="L13">
        <v>11</v>
      </c>
      <c r="M13">
        <v>0</v>
      </c>
      <c r="N13">
        <v>0</v>
      </c>
      <c r="O13" s="8" t="s">
        <v>62</v>
      </c>
      <c r="P13" t="s">
        <v>104</v>
      </c>
    </row>
    <row r="14" spans="1:16" ht="15.6" x14ac:dyDescent="0.3">
      <c r="A14" s="7">
        <v>13</v>
      </c>
      <c r="B14" s="5" t="s">
        <v>19</v>
      </c>
      <c r="C14">
        <v>71</v>
      </c>
      <c r="D14">
        <v>25</v>
      </c>
      <c r="E14" s="4">
        <v>124</v>
      </c>
      <c r="F14">
        <v>115</v>
      </c>
      <c r="G14">
        <v>10</v>
      </c>
      <c r="H14">
        <f t="shared" si="0"/>
        <v>107.8261</v>
      </c>
      <c r="I14">
        <f t="shared" si="1"/>
        <v>8.2667000000000002</v>
      </c>
      <c r="J14">
        <f t="shared" si="2"/>
        <v>9.5832999999999995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92</v>
      </c>
    </row>
    <row r="15" spans="1:16" ht="15.6" x14ac:dyDescent="0.3">
      <c r="A15" s="9">
        <v>14</v>
      </c>
      <c r="B15" s="5" t="s">
        <v>20</v>
      </c>
      <c r="C15">
        <v>58</v>
      </c>
      <c r="D15">
        <v>25</v>
      </c>
      <c r="E15" s="4">
        <v>116</v>
      </c>
      <c r="F15">
        <v>120</v>
      </c>
      <c r="G15">
        <v>12</v>
      </c>
      <c r="H15">
        <f t="shared" si="0"/>
        <v>96.666700000000006</v>
      </c>
      <c r="I15">
        <f t="shared" si="1"/>
        <v>8.9230999999999998</v>
      </c>
      <c r="J15">
        <f t="shared" si="2"/>
        <v>8</v>
      </c>
      <c r="K15">
        <v>1</v>
      </c>
      <c r="L15">
        <v>14</v>
      </c>
      <c r="M15">
        <v>0</v>
      </c>
      <c r="N15">
        <v>0</v>
      </c>
      <c r="O15" s="8" t="s">
        <v>63</v>
      </c>
      <c r="P15" t="s">
        <v>114</v>
      </c>
    </row>
    <row r="16" spans="1:16" ht="15.6" x14ac:dyDescent="0.3">
      <c r="A16" s="7">
        <v>15</v>
      </c>
      <c r="B16" s="5" t="s">
        <v>18</v>
      </c>
      <c r="C16">
        <v>41</v>
      </c>
      <c r="D16">
        <v>19</v>
      </c>
      <c r="E16" s="4">
        <v>79</v>
      </c>
      <c r="F16">
        <v>78</v>
      </c>
      <c r="G16">
        <v>5</v>
      </c>
      <c r="H16">
        <f t="shared" si="0"/>
        <v>101.2821</v>
      </c>
      <c r="I16">
        <f t="shared" si="1"/>
        <v>5.6429</v>
      </c>
      <c r="J16">
        <f t="shared" si="2"/>
        <v>7.0909000000000004</v>
      </c>
      <c r="K16">
        <v>2</v>
      </c>
      <c r="L16">
        <v>9</v>
      </c>
      <c r="M16">
        <v>0</v>
      </c>
      <c r="N16">
        <v>0</v>
      </c>
      <c r="O16" s="8" t="s">
        <v>93</v>
      </c>
      <c r="P16" t="s">
        <v>115</v>
      </c>
    </row>
    <row r="17" spans="1:16" ht="15.6" x14ac:dyDescent="0.3">
      <c r="A17" s="9">
        <v>16</v>
      </c>
      <c r="B17" s="5" t="s">
        <v>17</v>
      </c>
      <c r="C17">
        <v>39</v>
      </c>
      <c r="D17">
        <v>22</v>
      </c>
      <c r="E17" s="4">
        <v>73</v>
      </c>
      <c r="F17">
        <v>86</v>
      </c>
      <c r="G17">
        <v>1</v>
      </c>
      <c r="H17">
        <f t="shared" si="0"/>
        <v>84.883700000000005</v>
      </c>
      <c r="I17">
        <f t="shared" si="1"/>
        <v>3.4762</v>
      </c>
      <c r="J17">
        <f t="shared" si="2"/>
        <v>12.2857</v>
      </c>
      <c r="K17">
        <v>0</v>
      </c>
      <c r="L17">
        <v>7</v>
      </c>
      <c r="M17">
        <v>0</v>
      </c>
      <c r="N17">
        <v>0</v>
      </c>
      <c r="O17" s="8" t="s">
        <v>58</v>
      </c>
      <c r="P17" t="s">
        <v>106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 t="shared" si="0"/>
        <v>87.719300000000004</v>
      </c>
      <c r="I18">
        <f t="shared" si="1"/>
        <v>7.1429</v>
      </c>
      <c r="J18">
        <f t="shared" si="2"/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 t="shared" si="0"/>
        <v>88.888900000000007</v>
      </c>
      <c r="I19">
        <f t="shared" si="1"/>
        <v>5.7142999999999997</v>
      </c>
      <c r="J19">
        <f t="shared" si="2"/>
        <v>15</v>
      </c>
      <c r="K19">
        <v>0</v>
      </c>
      <c r="L19">
        <v>3</v>
      </c>
      <c r="M19">
        <v>0</v>
      </c>
      <c r="N19">
        <v>0</v>
      </c>
      <c r="O19" s="8" t="s">
        <v>55</v>
      </c>
      <c r="P19" t="s">
        <v>94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 t="shared" si="0"/>
        <v>68.181799999999996</v>
      </c>
      <c r="I20">
        <f t="shared" si="1"/>
        <v>5</v>
      </c>
      <c r="J20">
        <f t="shared" si="2"/>
        <v>44</v>
      </c>
      <c r="K20">
        <v>0</v>
      </c>
      <c r="L20">
        <v>1</v>
      </c>
      <c r="M20">
        <v>0</v>
      </c>
      <c r="N20">
        <v>0</v>
      </c>
      <c r="O20" s="8" t="s">
        <v>56</v>
      </c>
    </row>
    <row r="21" spans="1:16" ht="15.6" x14ac:dyDescent="0.3">
      <c r="A21" s="9">
        <v>21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 t="shared" si="0"/>
        <v>61.363599999999998</v>
      </c>
      <c r="I21">
        <f t="shared" si="1"/>
        <v>3.8571</v>
      </c>
      <c r="J21">
        <f t="shared" si="2"/>
        <v>14.666700000000001</v>
      </c>
      <c r="K21">
        <v>0</v>
      </c>
      <c r="L21">
        <v>3</v>
      </c>
      <c r="M21">
        <v>0</v>
      </c>
      <c r="N21">
        <v>0</v>
      </c>
      <c r="O21" s="8" t="s">
        <v>84</v>
      </c>
    </row>
    <row r="22" spans="1:16" ht="15.6" x14ac:dyDescent="0.3">
      <c r="A22" s="7">
        <v>22</v>
      </c>
      <c r="B22" s="5" t="s">
        <v>116</v>
      </c>
      <c r="C22">
        <v>2</v>
      </c>
      <c r="D22">
        <v>2</v>
      </c>
      <c r="E22" s="4">
        <v>7</v>
      </c>
      <c r="F22">
        <v>10</v>
      </c>
      <c r="G22">
        <v>0</v>
      </c>
      <c r="H22">
        <f t="shared" si="0"/>
        <v>70</v>
      </c>
      <c r="I22">
        <f t="shared" si="1"/>
        <v>3.5</v>
      </c>
      <c r="J22">
        <f t="shared" si="2"/>
        <v>10</v>
      </c>
      <c r="K22">
        <v>0</v>
      </c>
      <c r="L22">
        <v>1</v>
      </c>
      <c r="M22">
        <v>0</v>
      </c>
      <c r="N22">
        <v>0</v>
      </c>
      <c r="O22" s="8" t="s">
        <v>117</v>
      </c>
      <c r="P22" t="s">
        <v>118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G19" sqref="G19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119</v>
      </c>
      <c r="D2">
        <v>179.2</v>
      </c>
      <c r="E2" s="11">
        <v>126</v>
      </c>
      <c r="F2">
        <v>1774</v>
      </c>
      <c r="G2">
        <f t="shared" ref="G2:G16" si="0">ROUND(F2*6 / (INT(D2)*6 + MOD(D2,1)*10),4)</f>
        <v>9.8922000000000008</v>
      </c>
      <c r="H2">
        <f t="shared" ref="H2:H14" si="1">ROUND(F2/E2,4)</f>
        <v>14.0794</v>
      </c>
      <c r="I2">
        <f t="shared" ref="I2:I14" si="2">ROUND(IF(E2=0,"-", (INT(D2)*6 + MOD(D2,1)*10) / E2),4)</f>
        <v>8.5396999999999998</v>
      </c>
      <c r="J2">
        <v>12</v>
      </c>
      <c r="K2">
        <v>2</v>
      </c>
      <c r="L2" t="s">
        <v>38</v>
      </c>
      <c r="M2" t="s">
        <v>119</v>
      </c>
    </row>
    <row r="3" spans="1:13" ht="15.6" x14ac:dyDescent="0.3">
      <c r="A3">
        <v>2</v>
      </c>
      <c r="B3" s="5" t="s">
        <v>12</v>
      </c>
      <c r="C3">
        <v>101</v>
      </c>
      <c r="D3">
        <v>171.4</v>
      </c>
      <c r="E3" s="4">
        <v>105</v>
      </c>
      <c r="F3">
        <v>1807</v>
      </c>
      <c r="G3">
        <f t="shared" si="0"/>
        <v>10.526199999999999</v>
      </c>
      <c r="H3">
        <f t="shared" si="1"/>
        <v>17.209499999999998</v>
      </c>
      <c r="I3">
        <f t="shared" si="2"/>
        <v>9.8094999999999999</v>
      </c>
      <c r="J3">
        <v>11</v>
      </c>
      <c r="K3">
        <v>1</v>
      </c>
      <c r="L3" t="s">
        <v>87</v>
      </c>
      <c r="M3" t="s">
        <v>120</v>
      </c>
    </row>
    <row r="4" spans="1:13" ht="15.6" x14ac:dyDescent="0.3">
      <c r="A4" s="7">
        <v>3</v>
      </c>
      <c r="B4" s="5" t="s">
        <v>32</v>
      </c>
      <c r="C4">
        <v>81</v>
      </c>
      <c r="D4">
        <v>134.1</v>
      </c>
      <c r="E4" s="4">
        <v>93</v>
      </c>
      <c r="F4">
        <v>1383</v>
      </c>
      <c r="G4">
        <f t="shared" si="0"/>
        <v>10.3081</v>
      </c>
      <c r="H4">
        <f t="shared" si="1"/>
        <v>14.871</v>
      </c>
      <c r="I4">
        <f t="shared" si="2"/>
        <v>8.6559000000000008</v>
      </c>
      <c r="J4">
        <v>7</v>
      </c>
      <c r="K4">
        <v>0</v>
      </c>
      <c r="L4" t="s">
        <v>59</v>
      </c>
      <c r="M4" t="s">
        <v>121</v>
      </c>
    </row>
    <row r="5" spans="1:13" ht="15.6" x14ac:dyDescent="0.3">
      <c r="A5">
        <v>4</v>
      </c>
      <c r="B5" s="5" t="s">
        <v>9</v>
      </c>
      <c r="C5">
        <v>104</v>
      </c>
      <c r="D5">
        <v>108.5</v>
      </c>
      <c r="E5" s="4">
        <v>79</v>
      </c>
      <c r="F5">
        <v>1165</v>
      </c>
      <c r="G5">
        <f t="shared" si="0"/>
        <v>10.7044</v>
      </c>
      <c r="H5">
        <f t="shared" si="1"/>
        <v>14.7468</v>
      </c>
      <c r="I5">
        <f t="shared" si="2"/>
        <v>8.2658000000000005</v>
      </c>
      <c r="J5">
        <v>8</v>
      </c>
      <c r="K5">
        <v>1</v>
      </c>
      <c r="L5" t="s">
        <v>90</v>
      </c>
      <c r="M5" t="s">
        <v>122</v>
      </c>
    </row>
    <row r="6" spans="1:13" ht="15.6" x14ac:dyDescent="0.3">
      <c r="A6" s="7">
        <v>5</v>
      </c>
      <c r="B6" s="5" t="s">
        <v>14</v>
      </c>
      <c r="C6">
        <v>68</v>
      </c>
      <c r="D6">
        <v>110.5</v>
      </c>
      <c r="E6" s="4">
        <v>71</v>
      </c>
      <c r="F6">
        <v>1189</v>
      </c>
      <c r="G6">
        <f t="shared" si="0"/>
        <v>10.7278</v>
      </c>
      <c r="H6">
        <f t="shared" si="1"/>
        <v>16.746500000000001</v>
      </c>
      <c r="I6">
        <f t="shared" si="2"/>
        <v>9.3661999999999992</v>
      </c>
      <c r="J6">
        <v>10</v>
      </c>
      <c r="K6">
        <v>0</v>
      </c>
      <c r="L6" t="s">
        <v>54</v>
      </c>
      <c r="M6" t="s">
        <v>123</v>
      </c>
    </row>
    <row r="7" spans="1:13" ht="15.6" x14ac:dyDescent="0.3">
      <c r="A7">
        <v>6</v>
      </c>
      <c r="B7" s="5" t="s">
        <v>20</v>
      </c>
      <c r="C7">
        <v>58</v>
      </c>
      <c r="D7">
        <v>40</v>
      </c>
      <c r="E7" s="4">
        <v>32</v>
      </c>
      <c r="F7">
        <v>379</v>
      </c>
      <c r="G7">
        <f t="shared" si="0"/>
        <v>9.4749999999999996</v>
      </c>
      <c r="H7">
        <f t="shared" si="1"/>
        <v>11.8438</v>
      </c>
      <c r="I7">
        <f t="shared" si="2"/>
        <v>7.5</v>
      </c>
      <c r="J7">
        <v>3</v>
      </c>
      <c r="K7">
        <v>0</v>
      </c>
      <c r="L7" t="s">
        <v>39</v>
      </c>
      <c r="M7" t="s">
        <v>97</v>
      </c>
    </row>
    <row r="8" spans="1:13" ht="15.6" x14ac:dyDescent="0.3">
      <c r="A8" s="7">
        <v>7</v>
      </c>
      <c r="B8" s="5" t="s">
        <v>19</v>
      </c>
      <c r="C8">
        <v>71</v>
      </c>
      <c r="D8">
        <v>53.2</v>
      </c>
      <c r="E8" s="4">
        <v>31</v>
      </c>
      <c r="F8">
        <v>493</v>
      </c>
      <c r="G8">
        <f t="shared" si="0"/>
        <v>9.2438000000000002</v>
      </c>
      <c r="H8">
        <f t="shared" si="1"/>
        <v>15.9032</v>
      </c>
      <c r="I8">
        <f t="shared" si="2"/>
        <v>10.3226</v>
      </c>
      <c r="J8">
        <v>2</v>
      </c>
      <c r="K8">
        <v>0</v>
      </c>
      <c r="L8" t="s">
        <v>49</v>
      </c>
      <c r="M8" t="s">
        <v>89</v>
      </c>
    </row>
    <row r="9" spans="1:13" ht="15.6" x14ac:dyDescent="0.3">
      <c r="A9">
        <v>8</v>
      </c>
      <c r="B9" s="5" t="s">
        <v>17</v>
      </c>
      <c r="C9">
        <v>39</v>
      </c>
      <c r="D9">
        <v>41</v>
      </c>
      <c r="E9" s="4">
        <v>29</v>
      </c>
      <c r="F9">
        <v>386</v>
      </c>
      <c r="G9">
        <f t="shared" si="0"/>
        <v>9.4146000000000001</v>
      </c>
      <c r="H9">
        <f t="shared" si="1"/>
        <v>13.3103</v>
      </c>
      <c r="I9">
        <f t="shared" si="2"/>
        <v>8.4827999999999992</v>
      </c>
      <c r="J9">
        <v>3</v>
      </c>
      <c r="K9">
        <v>0</v>
      </c>
      <c r="L9" t="s">
        <v>37</v>
      </c>
      <c r="M9" t="s">
        <v>98</v>
      </c>
    </row>
    <row r="10" spans="1:13" ht="15.6" x14ac:dyDescent="0.3">
      <c r="A10" s="7">
        <v>9</v>
      </c>
      <c r="B10" s="5" t="s">
        <v>102</v>
      </c>
      <c r="C10">
        <v>39</v>
      </c>
      <c r="D10">
        <v>44</v>
      </c>
      <c r="E10" s="4">
        <v>26</v>
      </c>
      <c r="F10">
        <v>395</v>
      </c>
      <c r="G10">
        <f t="shared" si="0"/>
        <v>8.9772999999999996</v>
      </c>
      <c r="H10">
        <f t="shared" si="1"/>
        <v>15.192299999999999</v>
      </c>
      <c r="I10">
        <f t="shared" si="2"/>
        <v>10.1538</v>
      </c>
      <c r="J10">
        <v>2</v>
      </c>
      <c r="K10">
        <v>0</v>
      </c>
      <c r="L10" t="s">
        <v>60</v>
      </c>
      <c r="M10" t="s">
        <v>107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89</v>
      </c>
      <c r="D12">
        <v>6</v>
      </c>
      <c r="E12" s="4">
        <v>7</v>
      </c>
      <c r="F12">
        <v>53</v>
      </c>
      <c r="G12">
        <f t="shared" si="0"/>
        <v>8.8332999999999995</v>
      </c>
      <c r="H12">
        <f t="shared" si="1"/>
        <v>7.5713999999999997</v>
      </c>
      <c r="I12">
        <f t="shared" si="2"/>
        <v>5.1429</v>
      </c>
      <c r="J12">
        <v>2</v>
      </c>
      <c r="K12">
        <v>0</v>
      </c>
      <c r="L12" t="s">
        <v>100</v>
      </c>
      <c r="M12" t="s">
        <v>103</v>
      </c>
    </row>
    <row r="13" spans="1:13" ht="15.6" x14ac:dyDescent="0.3">
      <c r="A13" s="9">
        <v>12</v>
      </c>
      <c r="B13" s="5" t="s">
        <v>10</v>
      </c>
      <c r="C13">
        <v>51</v>
      </c>
      <c r="D13">
        <v>8</v>
      </c>
      <c r="E13" s="4">
        <v>5</v>
      </c>
      <c r="F13">
        <v>91</v>
      </c>
      <c r="G13">
        <f t="shared" si="0"/>
        <v>11.375</v>
      </c>
      <c r="H13">
        <f t="shared" si="1"/>
        <v>18.2</v>
      </c>
      <c r="I13">
        <f t="shared" si="2"/>
        <v>9.6</v>
      </c>
      <c r="J13">
        <v>0</v>
      </c>
      <c r="K13">
        <v>0</v>
      </c>
      <c r="L13" s="1" t="s">
        <v>99</v>
      </c>
      <c r="M13" t="s">
        <v>99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 t="shared" si="0"/>
        <v>14.333299999999999</v>
      </c>
      <c r="H14">
        <f t="shared" si="1"/>
        <v>43</v>
      </c>
      <c r="I14">
        <f t="shared" si="2"/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13</v>
      </c>
      <c r="C15">
        <v>59</v>
      </c>
      <c r="D15">
        <v>2</v>
      </c>
      <c r="E15" s="4">
        <v>0</v>
      </c>
      <c r="F15">
        <v>23</v>
      </c>
      <c r="G15">
        <f t="shared" si="0"/>
        <v>11.5</v>
      </c>
      <c r="H15" t="s">
        <v>61</v>
      </c>
      <c r="I15" t="s">
        <v>61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61</v>
      </c>
      <c r="I16" t="s">
        <v>61</v>
      </c>
      <c r="J16">
        <v>0</v>
      </c>
      <c r="K16">
        <v>0</v>
      </c>
      <c r="L16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2026-10-01T16:14:57Z</dcterms:modified>
</cp:coreProperties>
</file>