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62B39524-5669-42A5-94F8-35BA3C5116E3}" xr6:coauthVersionLast="47" xr6:coauthVersionMax="47" xr10:uidLastSave="{00000000-0000-0000-0000-000000000000}"/>
  <bookViews>
    <workbookView xWindow="-96" yWindow="0" windowWidth="11712" windowHeight="1305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G16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<sst xmlns="http://schemas.openxmlformats.org/spreadsheetml/2006/main" count="159" uniqueCount="117">
  <si>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</si>
  <si>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</si>
  <si>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</si>
  <si>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</si>
  <si>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</si>
  <si>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</si>
  <si>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</si>
  <si>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</si>
  <si>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</si>
  <si>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</si>
  <si>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</si>
  <si>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</si>
  <si>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</si>
  <si>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</si>
  <si>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</si>
  <si>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</si>
  <si>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</si>
  <si>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</si>
  <si>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</si>
  <si>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</si>
  <si>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</si>
  <si>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</si>
  <si>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</si>
  <si>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</si>
  <si>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</si>
  <si>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</si>
  <si>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</si>
  <si>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</si>
  <si>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</si>
  <si>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</si>
  <si>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</si>
  <si>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</si>
  <si>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</si>
  <si>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</si>
  <si>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</si>
  <si>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</si>
  <si>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</si>
  <si>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</si>
  <si>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</si>
  <si>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</si>
  <si>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</si>
  <si>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</si>
  <si>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</si>
  <si>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</si>
  <si>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</si>
  <si>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27(13)</t>
  </si>
  <si>
    <t>61(30)</t>
  </si>
  <si>
    <t>34(15)</t>
  </si>
  <si>
    <t>SAGAR</t>
  </si>
  <si>
    <t>50</t>
  </si>
  <si>
    <t>1-0-1-3</t>
  </si>
  <si>
    <t>NITIN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</si>
  <si>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</si>
  <si>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</si>
  <si>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</si>
  <si>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</si>
  <si>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</si>
  <si>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</si>
  <si>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</si>
  <si>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</si>
  <si>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1-0-10-1</t>
  </si>
  <si>
    <t>15(15)</t>
  </si>
  <si>
    <t>7(6)*</t>
  </si>
  <si>
    <t>1-0-6-3</t>
  </si>
  <si>
    <t>2-0-28-4</t>
  </si>
  <si>
    <t>3-0-19-4</t>
  </si>
  <si>
    <t>0.3-0-0-1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</si>
  <si>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</si>
  <si>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</si>
  <si>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</si>
  <si>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</si>
  <si>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</si>
  <si>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</si>
  <si>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</si>
  <si>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</si>
  <si>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</si>
  <si>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</si>
  <si>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</si>
  <si>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</si>
  <si>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</si>
  <si>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</si>
  <si>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</si>
  <si>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</si>
  <si>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</si>
  <si>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</si>
  <si>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</si>
  <si>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</si>
  <si>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</si>
  <si>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</si>
  <si>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</si>
  <si>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</si>
  <si>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</si>
  <si>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84(27)</t>
  </si>
  <si>
    <t>RECENT</t>
  </si>
  <si>
    <t>3-0-21-5</t>
  </si>
  <si>
    <t>2(7)</t>
  </si>
  <si>
    <t>0(5)</t>
  </si>
  <si>
    <t>0(1)</t>
  </si>
  <si>
    <t>7*(3)</t>
  </si>
  <si>
    <t>1-0-13-2</t>
  </si>
  <si>
    <t>5*(2)</t>
  </si>
  <si>
    <t>1*(1)</t>
  </si>
  <si>
    <t>1-0-18-1</t>
  </si>
  <si>
    <t>0.1-0-6-0</t>
  </si>
  <si>
    <t>1-0-17-0</t>
  </si>
  <si>
    <t>2-0-13-1</t>
  </si>
  <si>
    <t>1-0-12-0</t>
  </si>
  <si>
    <t>1-0-21-0</t>
  </si>
  <si>
    <t>3-0-27-3</t>
  </si>
  <si>
    <t>0(2)</t>
  </si>
  <si>
    <t>11(10)</t>
  </si>
  <si>
    <t>18(15)</t>
  </si>
  <si>
    <t>11*(9)</t>
  </si>
  <si>
    <t>6(4)</t>
  </si>
  <si>
    <t>6(1)</t>
  </si>
  <si>
    <t>12(7)</t>
  </si>
  <si>
    <t>4(2)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</si>
</sst>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9E78869-885B-4F11-BF98-C3C1C9A6CD2E}" name="Table24" displayName="Table24" ref="B1:O21" totalsRowShown="0" headerRowDxfId="7">
  <autoFilter ref="B1:O21" xr:uid="{69E78869-885B-4F11-BF98-C3C1C9A6CD2E}"/>
  <sortState xmlns:xlrd2="http://schemas.microsoft.com/office/spreadsheetml/2017/richdata2" ref="B2:O21">
    <sortCondition descending="1" ref="E2:E22"/>
  </sortState>
  <tableColumns count="14">
    <tableColumn id="1" xr3:uid="{75CDCEC7-1F46-47F0-BDE5-CC676DA14D9B}" name="BATSMAN" dataDxfId="5" totalsRowDxfId="6"/>
    <tableColumn id="2" xr3:uid="{F6F0B8DD-000F-4D74-8B56-E048B5CE7E7C}" name="MATCHES"/>
    <tableColumn id="3" xr3:uid="{D7978859-BCBC-4121-B1AC-5592FF81A072}" name="INNINGS"/>
    <tableColumn id="4" xr3:uid="{5480898A-08A7-4EE7-814B-9D2149BBAD86}" name="RUNS" dataDxfId="3" totalsRowDxfId="4"/>
    <tableColumn id="5" xr3:uid="{7DEB1F66-4D7D-4B33-A8CD-617D3BCE7674}" name="BALLS"/>
    <tableColumn id="6" xr3:uid="{9FD11D6C-83E0-4568-9735-A5657B88647F}" name="NOT OUTS"/>
    <tableColumn id="7" xr3:uid="{7AD36D01-C77E-4772-AA99-F9661B606357}" name="STRIKERATE" dataDxfId="2">
      <calculatedColumnFormula>ROUND((E2*100)/F2,4)</calculatedColumnFormula>
    </tableColumn>
    <tableColumn id="8" xr3:uid="{CD495C98-8E23-445C-8A8E-FF9B2B2D7772}" name="AVERAGE">
      <calculatedColumnFormula>ROUND(E2/(D2-G2),4)</calculatedColumnFormula>
    </tableColumn>
    <tableColumn id="13" xr3:uid="{D75C57B9-EBF5-4F23-8E05-93EB8E8BB1A0}" name="Balls/bdry" dataDxfId="1">
      <calculatedColumnFormula>ROUND(Table24[[#This Row],[BALLS]]/(Table24[[#This Row],[SIXES]]+Table24[[#This Row],[FOURS]]),4)</calculatedColumnFormula>
    </tableColumn>
    <tableColumn id="9" xr3:uid="{F5DF4F50-57D3-44DB-A3F1-2135BF43DAFB}" name="SIXES"/>
    <tableColumn id="10" xr3:uid="{C3BF9BC1-A4F8-429D-BE31-59614C6136CC}" name="FOURS"/>
    <tableColumn id="11" xr3:uid="{97DBA129-0935-423A-80F3-8110285FDB55}" name="50"/>
    <tableColumn id="12" xr3:uid="{C1630C0C-E7EA-40CE-89BE-ED1633D8A812}" name="BEST" dataDxfId="0"/>
    <tableColumn id="14" xr3:uid="{685669F8-10E5-4D63-B9A8-60C58DE310B0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15">
  <autoFilter ref="B1:M16" xr:uid="{49A3408C-0247-4CD5-A29D-BD24868E3C86}"/>
  <sortState xmlns:xlrd2="http://schemas.microsoft.com/office/spreadsheetml/2017/richdata2" ref="B2:M16">
    <sortCondition descending="1" ref="E2:E17"/>
  </sortState>
  <tableColumns count="12">
    <tableColumn id="1" xr3:uid="{DF3F8A78-E028-47BD-898B-B8B42EAA7982}" name="BOWLER" dataDxfId="13" totalsRowDxfId="14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11" totalsRowDxfId="12"/>
    <tableColumn id="6" xr3:uid="{78E694E1-7AAB-426D-8C28-4E28699F7976}" name="RUNS"/>
    <tableColumn id="7" xr3:uid="{D07A61E1-CE03-4A8E-B536-BBBCC597E3A0}" name="ECONOMY" dataDxfId="10">
      <calculatedColumnFormula>ROUND(F2*6 / (INT(D2)*6 + MOD(D2,1)*10),4)</calculatedColumnFormula>
    </tableColumn>
    <tableColumn id="8" xr3:uid="{E6701972-3E31-40DC-B880-8AE83B2676F5}" name="AVERAGE">
      <calculatedColumnFormula>F2/E2</calculatedColumnFormula>
    </tableColumn>
    <tableColumn id="9" xr3:uid="{C17AF204-6B7A-423B-9E48-043FE5062999}" name="STRIKE RATE" dataDxfId="9">
      <calculatedColumnFormula>ROUND(IF(E2=0,"-", (INT(D2)*6 + MOD(D2,1)*10) / E2),4)</calculatedColumnFormula>
    </tableColumn>
    <tableColumn id="10" xr3:uid="{25D73F67-7CAB-4724-82EC-A783B5148E55}" name="3-W"/>
    <tableColumn id="11" xr3:uid="{AFC247A0-D713-49AC-BC60-9F1D05EDA9D5}" name="5-W"/>
    <tableColumn id="12" xr3:uid="{0FF58AB5-B9DE-4D4F-98F3-BD4BE7CD8E9F}" name="BEST" totalsRowDxfId="8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O21"/>
  <sheetViews>
    <sheetView tabSelected="1" zoomScale="90" zoomScaleNormal="90" workbookViewId="0">
      <selection activeCell="C30" sqref="C30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5" ht="17.399999999999999" x14ac:dyDescent="0.35">
      <c r="A1" s="6" t="s">
        <v>87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55</v>
      </c>
      <c r="K1" s="2" t="s">
        <v>6</v>
      </c>
      <c r="L1" s="2" t="s">
        <v>7</v>
      </c>
      <c r="M1" s="2" t="s">
        <v>49</v>
      </c>
      <c r="N1" s="2" t="s">
        <v>33</v>
      </c>
      <c r="O1" s="2" t="s">
        <v>93</v>
      </c>
    </row>
    <row r="2" spans="1:15" ht="15.6" x14ac:dyDescent="0.3">
      <c r="A2" s="7">
        <v>1</v>
      </c>
      <c r="B2" s="5" t="s">
        <v>12</v>
      </c>
      <c r="C2">
        <v>82</v>
      </c>
      <c r="D2">
        <v>74</v>
      </c>
      <c r="E2" s="4">
        <v>1448</v>
      </c>
      <c r="F2">
        <v>659</v>
      </c>
      <c r="G2">
        <v>7</v>
      </c>
      <c r="H2">
        <f t="shared" ref="H2:H21" si="0">ROUND((E2*100)/F2,4)</f>
        <v>219.7269</v>
      </c>
      <c r="I2">
        <f t="shared" ref="I2:I21" si="1">ROUND(E2/(D2-G2),4)</f>
        <v>21.611899999999999</v>
      </c>
      <c r="J2">
        <f>ROUND(Table24[[#This Row],[BALLS]]/(Table24[[#This Row],[SIXES]]+Table24[[#This Row],[FOURS]]),4)</f>
        <v>2.6898</v>
      </c>
      <c r="K2">
        <v>144</v>
      </c>
      <c r="L2">
        <v>101</v>
      </c>
      <c r="M2">
        <v>6</v>
      </c>
      <c r="N2" s="8" t="s">
        <v>92</v>
      </c>
      <c r="O2" t="s">
        <v>109</v>
      </c>
    </row>
    <row r="3" spans="1:15" ht="15.6" x14ac:dyDescent="0.3">
      <c r="A3" s="9">
        <v>2</v>
      </c>
      <c r="B3" s="5" t="s">
        <v>32</v>
      </c>
      <c r="C3">
        <v>70</v>
      </c>
      <c r="D3">
        <v>60</v>
      </c>
      <c r="E3" s="4">
        <v>963</v>
      </c>
      <c r="F3">
        <v>583</v>
      </c>
      <c r="G3">
        <v>10</v>
      </c>
      <c r="H3">
        <f t="shared" si="0"/>
        <v>165.18010000000001</v>
      </c>
      <c r="I3">
        <f t="shared" si="1"/>
        <v>19.260000000000002</v>
      </c>
      <c r="J3">
        <f>ROUND(Table24[[#This Row],[BALLS]]/(Table24[[#This Row],[SIXES]]+Table24[[#This Row],[FOURS]]),4)</f>
        <v>3.7372000000000001</v>
      </c>
      <c r="K3">
        <v>58</v>
      </c>
      <c r="L3">
        <v>98</v>
      </c>
      <c r="M3">
        <v>1</v>
      </c>
      <c r="N3" s="8" t="s">
        <v>43</v>
      </c>
      <c r="O3" t="s">
        <v>110</v>
      </c>
    </row>
    <row r="4" spans="1:15" ht="15.6" x14ac:dyDescent="0.3">
      <c r="A4" s="7">
        <v>3</v>
      </c>
      <c r="B4" s="5" t="s">
        <v>11</v>
      </c>
      <c r="C4">
        <v>76</v>
      </c>
      <c r="D4">
        <v>64</v>
      </c>
      <c r="E4" s="4">
        <v>695</v>
      </c>
      <c r="F4">
        <v>457</v>
      </c>
      <c r="G4">
        <v>9</v>
      </c>
      <c r="H4">
        <f t="shared" si="0"/>
        <v>152.0788</v>
      </c>
      <c r="I4">
        <f t="shared" si="1"/>
        <v>12.6364</v>
      </c>
      <c r="J4">
        <f>ROUND(Table24[[#This Row],[BALLS]]/(Table24[[#This Row],[SIXES]]+Table24[[#This Row],[FOURS]]),4)</f>
        <v>4.4804000000000004</v>
      </c>
      <c r="K4">
        <v>42</v>
      </c>
      <c r="L4">
        <v>60</v>
      </c>
      <c r="M4">
        <v>2</v>
      </c>
      <c r="N4" s="8" t="s">
        <v>88</v>
      </c>
      <c r="O4" t="s">
        <v>111</v>
      </c>
    </row>
    <row r="5" spans="1:15" ht="15.6" x14ac:dyDescent="0.3">
      <c r="A5" s="9">
        <v>4</v>
      </c>
      <c r="B5" s="5" t="s">
        <v>9</v>
      </c>
      <c r="C5">
        <v>85</v>
      </c>
      <c r="D5">
        <v>69</v>
      </c>
      <c r="E5" s="4">
        <v>558</v>
      </c>
      <c r="F5">
        <v>432</v>
      </c>
      <c r="G5">
        <v>16</v>
      </c>
      <c r="H5">
        <f t="shared" si="0"/>
        <v>129.16669999999999</v>
      </c>
      <c r="I5">
        <f t="shared" si="1"/>
        <v>10.5283</v>
      </c>
      <c r="J5">
        <f>ROUND(Table24[[#This Row],[BALLS]]/(Table24[[#This Row],[SIXES]]+Table24[[#This Row],[FOURS]]),4)</f>
        <v>4.9654999999999996</v>
      </c>
      <c r="K5">
        <v>36</v>
      </c>
      <c r="L5">
        <v>51</v>
      </c>
      <c r="M5">
        <v>1</v>
      </c>
      <c r="N5" s="8" t="s">
        <v>46</v>
      </c>
      <c r="O5" t="s">
        <v>112</v>
      </c>
    </row>
    <row r="6" spans="1:15" ht="15.6" x14ac:dyDescent="0.3">
      <c r="A6" s="7">
        <v>5</v>
      </c>
      <c r="B6" s="5" t="s">
        <v>14</v>
      </c>
      <c r="C6">
        <v>57</v>
      </c>
      <c r="D6">
        <v>46</v>
      </c>
      <c r="E6" s="4">
        <v>472</v>
      </c>
      <c r="F6">
        <v>338</v>
      </c>
      <c r="G6">
        <v>9</v>
      </c>
      <c r="H6">
        <f t="shared" si="0"/>
        <v>139.64500000000001</v>
      </c>
      <c r="I6">
        <f t="shared" si="1"/>
        <v>12.7568</v>
      </c>
      <c r="J6">
        <f>ROUND(Table24[[#This Row],[BALLS]]/(Table24[[#This Row],[SIXES]]+Table24[[#This Row],[FOURS]]),4)</f>
        <v>4.8285999999999998</v>
      </c>
      <c r="K6">
        <v>22</v>
      </c>
      <c r="L6">
        <v>48</v>
      </c>
      <c r="M6">
        <v>0</v>
      </c>
      <c r="N6" s="8" t="s">
        <v>89</v>
      </c>
      <c r="O6" t="s">
        <v>113</v>
      </c>
    </row>
    <row r="7" spans="1:15" ht="15.6" x14ac:dyDescent="0.3">
      <c r="A7" s="9">
        <v>6</v>
      </c>
      <c r="B7" s="5" t="s">
        <v>10</v>
      </c>
      <c r="C7">
        <v>46</v>
      </c>
      <c r="D7">
        <v>33</v>
      </c>
      <c r="E7" s="4">
        <v>318</v>
      </c>
      <c r="F7">
        <v>203</v>
      </c>
      <c r="G7">
        <v>7</v>
      </c>
      <c r="H7">
        <f t="shared" si="0"/>
        <v>156.65020000000001</v>
      </c>
      <c r="I7">
        <f t="shared" si="1"/>
        <v>12.2308</v>
      </c>
      <c r="J7">
        <f>ROUND(Table24[[#This Row],[BALLS]]/(Table24[[#This Row],[SIXES]]+Table24[[#This Row],[FOURS]]),4)</f>
        <v>3.9803999999999999</v>
      </c>
      <c r="K7">
        <v>23</v>
      </c>
      <c r="L7">
        <v>28</v>
      </c>
      <c r="M7">
        <v>0</v>
      </c>
      <c r="N7" s="8" t="s">
        <v>42</v>
      </c>
      <c r="O7" t="s">
        <v>97</v>
      </c>
    </row>
    <row r="8" spans="1:15" ht="15.6" x14ac:dyDescent="0.3">
      <c r="A8" s="7">
        <v>7</v>
      </c>
      <c r="B8" s="5" t="s">
        <v>16</v>
      </c>
      <c r="C8">
        <v>55</v>
      </c>
      <c r="D8">
        <v>41</v>
      </c>
      <c r="E8" s="4">
        <v>311</v>
      </c>
      <c r="F8">
        <v>213</v>
      </c>
      <c r="G8">
        <v>7</v>
      </c>
      <c r="H8">
        <f t="shared" si="0"/>
        <v>146.0094</v>
      </c>
      <c r="I8">
        <f t="shared" si="1"/>
        <v>9.1471</v>
      </c>
      <c r="J8">
        <f>ROUND(Table24[[#This Row],[BALLS]]/(Table24[[#This Row],[SIXES]]+Table24[[#This Row],[FOURS]]),4)</f>
        <v>4.6303999999999998</v>
      </c>
      <c r="K8">
        <v>29</v>
      </c>
      <c r="L8">
        <v>17</v>
      </c>
      <c r="M8">
        <v>0</v>
      </c>
      <c r="N8" s="8" t="s">
        <v>54</v>
      </c>
      <c r="O8" t="s">
        <v>95</v>
      </c>
    </row>
    <row r="9" spans="1:15" ht="15.6" x14ac:dyDescent="0.3">
      <c r="A9" s="9">
        <v>8</v>
      </c>
      <c r="B9" s="5" t="s">
        <v>8</v>
      </c>
      <c r="C9">
        <v>103</v>
      </c>
      <c r="D9">
        <v>51</v>
      </c>
      <c r="E9" s="4">
        <v>307</v>
      </c>
      <c r="F9">
        <v>280</v>
      </c>
      <c r="G9">
        <v>17</v>
      </c>
      <c r="H9">
        <f t="shared" si="0"/>
        <v>109.6429</v>
      </c>
      <c r="I9">
        <f t="shared" si="1"/>
        <v>9.0294000000000008</v>
      </c>
      <c r="J9">
        <f>ROUND(Table24[[#This Row],[BALLS]]/(Table24[[#This Row],[SIXES]]+Table24[[#This Row],[FOURS]]),4)</f>
        <v>6.6666999999999996</v>
      </c>
      <c r="K9">
        <v>13</v>
      </c>
      <c r="L9">
        <v>29</v>
      </c>
      <c r="M9">
        <v>0</v>
      </c>
      <c r="N9" s="8" t="s">
        <v>52</v>
      </c>
      <c r="O9" t="s">
        <v>114</v>
      </c>
    </row>
    <row r="10" spans="1:15" ht="15.6" x14ac:dyDescent="0.3">
      <c r="A10" s="7">
        <v>9</v>
      </c>
      <c r="B10" s="5" t="s">
        <v>13</v>
      </c>
      <c r="C10">
        <v>54</v>
      </c>
      <c r="D10">
        <v>44</v>
      </c>
      <c r="E10" s="4">
        <v>301</v>
      </c>
      <c r="F10">
        <v>207</v>
      </c>
      <c r="G10">
        <v>5</v>
      </c>
      <c r="H10">
        <f t="shared" si="0"/>
        <v>145.41059999999999</v>
      </c>
      <c r="I10">
        <f t="shared" si="1"/>
        <v>7.7179000000000002</v>
      </c>
      <c r="J10">
        <f>ROUND(Table24[[#This Row],[BALLS]]/(Table24[[#This Row],[SIXES]]+Table24[[#This Row],[FOURS]]),4)</f>
        <v>4.7045000000000003</v>
      </c>
      <c r="K10">
        <v>26</v>
      </c>
      <c r="L10">
        <v>18</v>
      </c>
      <c r="M10">
        <v>0</v>
      </c>
      <c r="N10" s="8" t="s">
        <v>47</v>
      </c>
      <c r="O10" t="s">
        <v>115</v>
      </c>
    </row>
    <row r="11" spans="1:15" ht="15.6" x14ac:dyDescent="0.3">
      <c r="A11" s="9">
        <v>10</v>
      </c>
      <c r="B11" s="5" t="s">
        <v>15</v>
      </c>
      <c r="C11">
        <v>46</v>
      </c>
      <c r="D11">
        <v>32</v>
      </c>
      <c r="E11" s="4">
        <v>227</v>
      </c>
      <c r="F11">
        <v>206</v>
      </c>
      <c r="G11">
        <v>15</v>
      </c>
      <c r="H11">
        <f t="shared" si="0"/>
        <v>110.1942</v>
      </c>
      <c r="I11">
        <f t="shared" si="1"/>
        <v>13.3529</v>
      </c>
      <c r="J11">
        <f>ROUND(Table24[[#This Row],[BALLS]]/(Table24[[#This Row],[SIXES]]+Table24[[#This Row],[FOURS]]),4)</f>
        <v>6.8666999999999998</v>
      </c>
      <c r="K11">
        <v>6</v>
      </c>
      <c r="L11">
        <v>24</v>
      </c>
      <c r="M11">
        <v>0</v>
      </c>
      <c r="N11" s="8" t="s">
        <v>59</v>
      </c>
      <c r="O11" t="s">
        <v>100</v>
      </c>
    </row>
    <row r="12" spans="1:15" ht="15.6" x14ac:dyDescent="0.3">
      <c r="A12" s="7">
        <v>11</v>
      </c>
      <c r="B12" s="5" t="s">
        <v>41</v>
      </c>
      <c r="C12">
        <v>33</v>
      </c>
      <c r="D12">
        <v>23</v>
      </c>
      <c r="E12" s="4">
        <v>218</v>
      </c>
      <c r="F12">
        <v>173</v>
      </c>
      <c r="G12">
        <v>4</v>
      </c>
      <c r="H12">
        <f t="shared" si="0"/>
        <v>126.0116</v>
      </c>
      <c r="I12">
        <f t="shared" si="1"/>
        <v>11.473699999999999</v>
      </c>
      <c r="J12">
        <f>ROUND(Table24[[#This Row],[BALLS]]/(Table24[[#This Row],[SIXES]]+Table24[[#This Row],[FOURS]]),4)</f>
        <v>5.7667000000000002</v>
      </c>
      <c r="K12">
        <v>12</v>
      </c>
      <c r="L12">
        <v>18</v>
      </c>
      <c r="M12">
        <v>0</v>
      </c>
      <c r="N12" s="8" t="s">
        <v>45</v>
      </c>
      <c r="O12" t="s">
        <v>116</v>
      </c>
    </row>
    <row r="13" spans="1:15" ht="15.6" x14ac:dyDescent="0.3">
      <c r="A13" s="9">
        <v>12</v>
      </c>
      <c r="B13" s="5" t="s">
        <v>51</v>
      </c>
      <c r="C13">
        <v>33</v>
      </c>
      <c r="D13">
        <v>22</v>
      </c>
      <c r="E13" s="4">
        <v>146</v>
      </c>
      <c r="F13">
        <v>104</v>
      </c>
      <c r="G13">
        <v>6</v>
      </c>
      <c r="H13">
        <f t="shared" si="0"/>
        <v>140.38460000000001</v>
      </c>
      <c r="I13">
        <f t="shared" si="1"/>
        <v>9.125</v>
      </c>
      <c r="J13">
        <f>ROUND(Table24[[#This Row],[BALLS]]/(Table24[[#This Row],[SIXES]]+Table24[[#This Row],[FOURS]]),4)</f>
        <v>5.7778</v>
      </c>
      <c r="K13">
        <v>8</v>
      </c>
      <c r="L13">
        <v>10</v>
      </c>
      <c r="M13">
        <v>0</v>
      </c>
      <c r="N13" s="8" t="s">
        <v>68</v>
      </c>
      <c r="O13" t="s">
        <v>101</v>
      </c>
    </row>
    <row r="14" spans="1:15" ht="15.6" x14ac:dyDescent="0.3">
      <c r="A14" s="7">
        <v>13</v>
      </c>
      <c r="B14" s="5" t="s">
        <v>19</v>
      </c>
      <c r="C14">
        <v>64</v>
      </c>
      <c r="D14">
        <v>24</v>
      </c>
      <c r="E14" s="4">
        <v>113</v>
      </c>
      <c r="F14">
        <v>107</v>
      </c>
      <c r="G14">
        <v>10</v>
      </c>
      <c r="H14">
        <f t="shared" si="0"/>
        <v>105.6075</v>
      </c>
      <c r="I14">
        <f t="shared" si="1"/>
        <v>8.0714000000000006</v>
      </c>
      <c r="J14">
        <f>ROUND(Table24[[#This Row],[BALLS]]/(Table24[[#This Row],[SIXES]]+Table24[[#This Row],[FOURS]]),4)</f>
        <v>9.7272999999999996</v>
      </c>
      <c r="K14">
        <v>0</v>
      </c>
      <c r="L14">
        <v>11</v>
      </c>
      <c r="M14">
        <v>0</v>
      </c>
      <c r="N14" s="8" t="s">
        <v>53</v>
      </c>
      <c r="O14" t="s">
        <v>98</v>
      </c>
    </row>
    <row r="15" spans="1:15" ht="15.6" x14ac:dyDescent="0.3">
      <c r="A15" s="9">
        <v>14</v>
      </c>
      <c r="B15" s="5" t="s">
        <v>20</v>
      </c>
      <c r="C15">
        <v>46</v>
      </c>
      <c r="D15">
        <v>19</v>
      </c>
      <c r="E15" s="4">
        <v>90</v>
      </c>
      <c r="F15">
        <v>92</v>
      </c>
      <c r="G15">
        <v>8</v>
      </c>
      <c r="H15">
        <f t="shared" si="0"/>
        <v>97.826099999999997</v>
      </c>
      <c r="I15">
        <f t="shared" si="1"/>
        <v>8.1818000000000008</v>
      </c>
      <c r="J15">
        <f>ROUND(Table24[[#This Row],[BALLS]]/(Table24[[#This Row],[SIXES]]+Table24[[#This Row],[FOURS]]),4)</f>
        <v>9.1999999999999993</v>
      </c>
      <c r="K15">
        <v>1</v>
      </c>
      <c r="L15">
        <v>9</v>
      </c>
      <c r="M15">
        <v>0</v>
      </c>
      <c r="N15" s="8" t="s">
        <v>69</v>
      </c>
      <c r="O15" t="s">
        <v>96</v>
      </c>
    </row>
    <row r="16" spans="1:15" ht="15.6" x14ac:dyDescent="0.3">
      <c r="A16" s="7">
        <v>15</v>
      </c>
      <c r="B16" s="5" t="s">
        <v>17</v>
      </c>
      <c r="C16">
        <v>31</v>
      </c>
      <c r="D16">
        <v>20</v>
      </c>
      <c r="E16" s="4">
        <v>66</v>
      </c>
      <c r="F16">
        <v>79</v>
      </c>
      <c r="G16">
        <v>1</v>
      </c>
      <c r="H16">
        <f t="shared" si="0"/>
        <v>83.544300000000007</v>
      </c>
      <c r="I16">
        <f t="shared" si="1"/>
        <v>3.4737</v>
      </c>
      <c r="J16">
        <f>ROUND(Table24[[#This Row],[BALLS]]/(Table24[[#This Row],[SIXES]]+Table24[[#This Row],[FOURS]]),4)</f>
        <v>13.166700000000001</v>
      </c>
      <c r="K16">
        <v>0</v>
      </c>
      <c r="L16">
        <v>6</v>
      </c>
      <c r="M16">
        <v>0</v>
      </c>
      <c r="N16" s="8" t="s">
        <v>61</v>
      </c>
      <c r="O16" t="s">
        <v>110</v>
      </c>
    </row>
    <row r="17" spans="1:14" ht="15.6" x14ac:dyDescent="0.3">
      <c r="A17" s="9">
        <v>16</v>
      </c>
      <c r="B17" s="5" t="s">
        <v>23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 t="shared" si="0"/>
        <v>87.719300000000004</v>
      </c>
      <c r="I17">
        <f t="shared" si="1"/>
        <v>7.1429</v>
      </c>
      <c r="J17">
        <f>ROUND(Table24[[#This Row],[BALLS]]/(Table24[[#This Row],[SIXES]]+Table24[[#This Row],[FOURS]]),4)</f>
        <v>5.7</v>
      </c>
      <c r="K17">
        <v>2</v>
      </c>
      <c r="L17">
        <v>8</v>
      </c>
      <c r="M17">
        <v>0</v>
      </c>
      <c r="N17" s="8" t="s">
        <v>44</v>
      </c>
    </row>
    <row r="18" spans="1:14" ht="15.6" x14ac:dyDescent="0.3">
      <c r="A18" s="7">
        <v>17</v>
      </c>
      <c r="B18" s="5" t="s">
        <v>18</v>
      </c>
      <c r="C18">
        <v>33</v>
      </c>
      <c r="D18">
        <v>14</v>
      </c>
      <c r="E18" s="4">
        <v>45</v>
      </c>
      <c r="F18">
        <v>51</v>
      </c>
      <c r="G18">
        <v>4</v>
      </c>
      <c r="H18">
        <f t="shared" si="0"/>
        <v>88.235299999999995</v>
      </c>
      <c r="I18">
        <f t="shared" si="1"/>
        <v>4.5</v>
      </c>
      <c r="J18">
        <f>ROUND(Table24[[#This Row],[BALLS]]/(Table24[[#This Row],[SIXES]]+Table24[[#This Row],[FOURS]]),4)</f>
        <v>8.5</v>
      </c>
      <c r="K18">
        <v>1</v>
      </c>
      <c r="L18">
        <v>5</v>
      </c>
      <c r="M18">
        <v>0</v>
      </c>
      <c r="N18" s="8" t="s">
        <v>62</v>
      </c>
    </row>
    <row r="19" spans="1:14" ht="15.6" x14ac:dyDescent="0.3">
      <c r="A19" s="9">
        <v>19</v>
      </c>
      <c r="B19" s="5" t="s">
        <v>21</v>
      </c>
      <c r="C19">
        <v>18</v>
      </c>
      <c r="D19">
        <v>9</v>
      </c>
      <c r="E19" s="4">
        <v>36</v>
      </c>
      <c r="F19">
        <v>44</v>
      </c>
      <c r="G19">
        <v>2</v>
      </c>
      <c r="H19">
        <f t="shared" si="0"/>
        <v>81.818200000000004</v>
      </c>
      <c r="I19">
        <f t="shared" si="1"/>
        <v>5.1429</v>
      </c>
      <c r="J19">
        <f>ROUND(Table24[[#This Row],[BALLS]]/(Table24[[#This Row],[SIXES]]+Table24[[#This Row],[FOURS]]),4)</f>
        <v>22</v>
      </c>
      <c r="K19">
        <v>0</v>
      </c>
      <c r="L19">
        <v>2</v>
      </c>
      <c r="M19">
        <v>0</v>
      </c>
      <c r="N19" s="8" t="s">
        <v>57</v>
      </c>
    </row>
    <row r="20" spans="1:14" ht="15.6" x14ac:dyDescent="0.3">
      <c r="A20" s="7">
        <v>20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 t="shared" si="0"/>
        <v>68.181799999999996</v>
      </c>
      <c r="I20">
        <f t="shared" si="1"/>
        <v>5</v>
      </c>
      <c r="J20">
        <f>ROUND(Table24[[#This Row],[BALLS]]/(Table24[[#This Row],[SIXES]]+Table24[[#This Row],[FOURS]]),4)</f>
        <v>44</v>
      </c>
      <c r="K20">
        <v>0</v>
      </c>
      <c r="L20">
        <v>1</v>
      </c>
      <c r="M20">
        <v>0</v>
      </c>
      <c r="N20" s="8" t="s">
        <v>58</v>
      </c>
    </row>
    <row r="21" spans="1:14" ht="15.6" x14ac:dyDescent="0.3">
      <c r="A21" s="9">
        <v>21</v>
      </c>
      <c r="B21" s="5" t="s">
        <v>48</v>
      </c>
      <c r="C21">
        <v>13</v>
      </c>
      <c r="D21">
        <v>9</v>
      </c>
      <c r="E21" s="4">
        <v>27</v>
      </c>
      <c r="F21">
        <v>44</v>
      </c>
      <c r="G21">
        <v>2</v>
      </c>
      <c r="H21">
        <f t="shared" si="0"/>
        <v>61.363599999999998</v>
      </c>
      <c r="I21">
        <f t="shared" si="1"/>
        <v>3.8571</v>
      </c>
      <c r="J21">
        <f>ROUND(Table24[[#This Row],[BALLS]]/(Table24[[#This Row],[SIXES]]+Table24[[#This Row],[FOURS]]),4)</f>
        <v>14.666700000000001</v>
      </c>
      <c r="K21">
        <v>0</v>
      </c>
      <c r="L21">
        <v>3</v>
      </c>
      <c r="M21">
        <v>0</v>
      </c>
      <c r="N21" s="8" t="s">
        <v>90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zoomScale="108" zoomScaleNormal="167" workbookViewId="0">
      <selection sqref="A1:M16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87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93</v>
      </c>
    </row>
    <row r="2" spans="1:13" ht="15.6" x14ac:dyDescent="0.3">
      <c r="A2" s="7">
        <v>1</v>
      </c>
      <c r="B2" s="5" t="s">
        <v>8</v>
      </c>
      <c r="C2">
        <v>103</v>
      </c>
      <c r="D2">
        <v>157</v>
      </c>
      <c r="E2" s="11">
        <v>112</v>
      </c>
      <c r="F2">
        <v>1540</v>
      </c>
      <c r="G2">
        <f t="shared" ref="G2:G16" si="0">ROUND(F2*6 / (INT(D2)*6 + MOD(D2,1)*10),4)</f>
        <v>9.8088999999999995</v>
      </c>
      <c r="H2">
        <f t="shared" ref="H2:H14" si="1">ROUND(F2/E2,4)</f>
        <v>13.75</v>
      </c>
      <c r="I2">
        <f t="shared" ref="I2:I14" si="2">ROUND(IF(E2=0,"-", (INT(D2)*6 + MOD(D2,1)*10) / E2),4)</f>
        <v>8.4107000000000003</v>
      </c>
      <c r="J2">
        <v>11</v>
      </c>
      <c r="K2">
        <v>2</v>
      </c>
      <c r="L2" t="s">
        <v>38</v>
      </c>
      <c r="M2" t="s">
        <v>104</v>
      </c>
    </row>
    <row r="3" spans="1:13" ht="15.6" x14ac:dyDescent="0.3">
      <c r="A3">
        <v>2</v>
      </c>
      <c r="B3" s="5" t="s">
        <v>12</v>
      </c>
      <c r="C3">
        <v>82</v>
      </c>
      <c r="D3">
        <v>145.4</v>
      </c>
      <c r="E3" s="4">
        <v>90</v>
      </c>
      <c r="F3">
        <v>1563</v>
      </c>
      <c r="G3">
        <f t="shared" si="0"/>
        <v>10.73</v>
      </c>
      <c r="H3">
        <f t="shared" si="1"/>
        <v>17.366700000000002</v>
      </c>
      <c r="I3">
        <f t="shared" si="2"/>
        <v>9.7111000000000001</v>
      </c>
      <c r="J3">
        <v>9</v>
      </c>
      <c r="K3">
        <v>1</v>
      </c>
      <c r="L3" t="s">
        <v>94</v>
      </c>
      <c r="M3" t="s">
        <v>105</v>
      </c>
    </row>
    <row r="4" spans="1:13" ht="15.6" x14ac:dyDescent="0.3">
      <c r="A4" s="7">
        <v>3</v>
      </c>
      <c r="B4" s="5" t="s">
        <v>32</v>
      </c>
      <c r="C4">
        <v>70</v>
      </c>
      <c r="D4">
        <v>120.2</v>
      </c>
      <c r="E4" s="4">
        <v>81</v>
      </c>
      <c r="F4">
        <v>1281</v>
      </c>
      <c r="G4">
        <f t="shared" si="0"/>
        <v>10.6454</v>
      </c>
      <c r="H4">
        <f t="shared" si="1"/>
        <v>15.8148</v>
      </c>
      <c r="I4">
        <f t="shared" si="2"/>
        <v>8.9136000000000006</v>
      </c>
      <c r="J4">
        <v>6</v>
      </c>
      <c r="K4">
        <v>0</v>
      </c>
      <c r="L4" t="s">
        <v>64</v>
      </c>
      <c r="M4" t="s">
        <v>106</v>
      </c>
    </row>
    <row r="5" spans="1:13" ht="15.6" x14ac:dyDescent="0.3">
      <c r="A5">
        <v>4</v>
      </c>
      <c r="B5" s="5" t="s">
        <v>14</v>
      </c>
      <c r="C5">
        <v>57</v>
      </c>
      <c r="D5">
        <v>92.5</v>
      </c>
      <c r="E5" s="4">
        <v>61</v>
      </c>
      <c r="F5">
        <v>988</v>
      </c>
      <c r="G5">
        <f t="shared" si="0"/>
        <v>10.6427</v>
      </c>
      <c r="H5">
        <f t="shared" si="1"/>
        <v>16.1967</v>
      </c>
      <c r="I5">
        <f t="shared" si="2"/>
        <v>9.1311</v>
      </c>
      <c r="J5">
        <v>9</v>
      </c>
      <c r="K5">
        <v>0</v>
      </c>
      <c r="L5" t="s">
        <v>56</v>
      </c>
      <c r="M5" t="s">
        <v>107</v>
      </c>
    </row>
    <row r="6" spans="1:13" ht="15.6" x14ac:dyDescent="0.3">
      <c r="A6" s="7">
        <v>5</v>
      </c>
      <c r="B6" s="5" t="s">
        <v>9</v>
      </c>
      <c r="C6">
        <v>85</v>
      </c>
      <c r="D6">
        <v>83.3</v>
      </c>
      <c r="E6" s="4">
        <v>58</v>
      </c>
      <c r="F6">
        <v>883</v>
      </c>
      <c r="G6">
        <f t="shared" si="0"/>
        <v>10.5749</v>
      </c>
      <c r="H6">
        <f t="shared" si="1"/>
        <v>15.2241</v>
      </c>
      <c r="I6">
        <f t="shared" si="2"/>
        <v>8.6379000000000001</v>
      </c>
      <c r="J6">
        <v>6</v>
      </c>
      <c r="K6">
        <v>0</v>
      </c>
      <c r="L6" t="s">
        <v>63</v>
      </c>
      <c r="M6" t="s">
        <v>108</v>
      </c>
    </row>
    <row r="7" spans="1:13" ht="15.6" x14ac:dyDescent="0.3">
      <c r="A7">
        <v>6</v>
      </c>
      <c r="B7" s="5" t="s">
        <v>19</v>
      </c>
      <c r="C7">
        <v>64</v>
      </c>
      <c r="D7">
        <v>50.2</v>
      </c>
      <c r="E7" s="4">
        <v>29</v>
      </c>
      <c r="F7">
        <v>467</v>
      </c>
      <c r="G7">
        <f t="shared" si="0"/>
        <v>9.2781000000000002</v>
      </c>
      <c r="H7">
        <f t="shared" si="1"/>
        <v>16.103400000000001</v>
      </c>
      <c r="I7">
        <f t="shared" si="2"/>
        <v>10.4138</v>
      </c>
      <c r="J7">
        <v>2</v>
      </c>
      <c r="K7">
        <v>0</v>
      </c>
      <c r="L7" t="s">
        <v>50</v>
      </c>
      <c r="M7" t="s">
        <v>102</v>
      </c>
    </row>
    <row r="8" spans="1:13" ht="15.6" x14ac:dyDescent="0.3">
      <c r="A8" s="7">
        <v>7</v>
      </c>
      <c r="B8" s="5" t="s">
        <v>20</v>
      </c>
      <c r="C8">
        <v>46</v>
      </c>
      <c r="D8">
        <v>34.5</v>
      </c>
      <c r="E8" s="4">
        <v>27</v>
      </c>
      <c r="F8">
        <v>329</v>
      </c>
      <c r="G8">
        <f t="shared" si="0"/>
        <v>9.4450000000000003</v>
      </c>
      <c r="H8">
        <f t="shared" si="1"/>
        <v>12.1852</v>
      </c>
      <c r="I8">
        <f t="shared" si="2"/>
        <v>7.7407000000000004</v>
      </c>
      <c r="J8">
        <v>3</v>
      </c>
      <c r="K8">
        <v>0</v>
      </c>
      <c r="L8" t="s">
        <v>39</v>
      </c>
      <c r="M8" t="s">
        <v>99</v>
      </c>
    </row>
    <row r="9" spans="1:13" ht="15.6" x14ac:dyDescent="0.3">
      <c r="A9">
        <v>8</v>
      </c>
      <c r="B9" s="5" t="s">
        <v>17</v>
      </c>
      <c r="C9">
        <v>31</v>
      </c>
      <c r="D9">
        <v>38</v>
      </c>
      <c r="E9" s="4">
        <v>25</v>
      </c>
      <c r="F9">
        <v>367</v>
      </c>
      <c r="G9">
        <f t="shared" si="0"/>
        <v>9.6578999999999997</v>
      </c>
      <c r="H9">
        <f t="shared" si="1"/>
        <v>14.68</v>
      </c>
      <c r="I9">
        <f t="shared" si="2"/>
        <v>9.1199999999999992</v>
      </c>
      <c r="J9">
        <v>2</v>
      </c>
      <c r="K9">
        <v>0</v>
      </c>
      <c r="L9" t="s">
        <v>37</v>
      </c>
    </row>
    <row r="10" spans="1:13" ht="15.6" x14ac:dyDescent="0.3">
      <c r="A10" s="7">
        <v>9</v>
      </c>
      <c r="B10" s="5" t="s">
        <v>51</v>
      </c>
      <c r="C10">
        <v>33</v>
      </c>
      <c r="D10">
        <v>40</v>
      </c>
      <c r="E10" s="4">
        <v>23</v>
      </c>
      <c r="F10">
        <v>371</v>
      </c>
      <c r="G10">
        <f t="shared" si="0"/>
        <v>9.2750000000000004</v>
      </c>
      <c r="H10">
        <f t="shared" si="1"/>
        <v>16.130400000000002</v>
      </c>
      <c r="I10">
        <f t="shared" si="2"/>
        <v>10.434799999999999</v>
      </c>
      <c r="J10">
        <v>2</v>
      </c>
      <c r="K10">
        <v>0</v>
      </c>
      <c r="L10" t="s">
        <v>65</v>
      </c>
      <c r="M10" t="s">
        <v>103</v>
      </c>
    </row>
    <row r="11" spans="1:13" ht="15.6" x14ac:dyDescent="0.3">
      <c r="A11">
        <v>10</v>
      </c>
      <c r="B11" s="5" t="s">
        <v>21</v>
      </c>
      <c r="C11">
        <v>18</v>
      </c>
      <c r="D11">
        <v>15.2</v>
      </c>
      <c r="E11" s="4">
        <v>13</v>
      </c>
      <c r="F11">
        <v>151</v>
      </c>
      <c r="G11">
        <f t="shared" si="0"/>
        <v>9.8477999999999994</v>
      </c>
      <c r="H11">
        <f t="shared" si="1"/>
        <v>11.615399999999999</v>
      </c>
      <c r="I11">
        <f t="shared" si="2"/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10</v>
      </c>
      <c r="C12">
        <v>46</v>
      </c>
      <c r="D12">
        <v>6</v>
      </c>
      <c r="E12" s="4">
        <v>3</v>
      </c>
      <c r="F12">
        <v>73</v>
      </c>
      <c r="G12">
        <f t="shared" si="0"/>
        <v>12.166700000000001</v>
      </c>
      <c r="H12">
        <f t="shared" si="1"/>
        <v>24.333300000000001</v>
      </c>
      <c r="I12">
        <f t="shared" si="2"/>
        <v>12</v>
      </c>
      <c r="J12">
        <v>0</v>
      </c>
      <c r="K12">
        <v>0</v>
      </c>
      <c r="L12" s="1" t="s">
        <v>60</v>
      </c>
    </row>
    <row r="13" spans="1:13" ht="15.6" x14ac:dyDescent="0.3">
      <c r="A13" s="9">
        <v>12</v>
      </c>
      <c r="B13" s="5" t="s">
        <v>23</v>
      </c>
      <c r="C13">
        <v>12</v>
      </c>
      <c r="D13">
        <v>9</v>
      </c>
      <c r="E13" s="4">
        <v>3</v>
      </c>
      <c r="F13">
        <v>129</v>
      </c>
      <c r="G13">
        <f t="shared" si="0"/>
        <v>14.333299999999999</v>
      </c>
      <c r="H13">
        <f t="shared" si="1"/>
        <v>43</v>
      </c>
      <c r="I13">
        <f t="shared" si="2"/>
        <v>18</v>
      </c>
      <c r="J13">
        <v>0</v>
      </c>
      <c r="K13">
        <v>0</v>
      </c>
      <c r="L13" t="s">
        <v>34</v>
      </c>
    </row>
    <row r="14" spans="1:13" ht="15.6" x14ac:dyDescent="0.3">
      <c r="A14" s="7">
        <v>13</v>
      </c>
      <c r="B14" s="5" t="s">
        <v>11</v>
      </c>
      <c r="C14">
        <v>74</v>
      </c>
      <c r="D14">
        <v>1.3</v>
      </c>
      <c r="E14" s="4">
        <v>1</v>
      </c>
      <c r="F14">
        <v>8</v>
      </c>
      <c r="G14">
        <f t="shared" si="0"/>
        <v>5.3333000000000004</v>
      </c>
      <c r="H14">
        <f t="shared" si="1"/>
        <v>8</v>
      </c>
      <c r="I14">
        <f t="shared" si="2"/>
        <v>9</v>
      </c>
      <c r="J14">
        <v>0</v>
      </c>
      <c r="K14">
        <v>0</v>
      </c>
      <c r="L14" t="s">
        <v>66</v>
      </c>
    </row>
    <row r="15" spans="1:13" ht="15.6" x14ac:dyDescent="0.3">
      <c r="A15" s="9">
        <v>14</v>
      </c>
      <c r="B15" s="5" t="s">
        <v>13</v>
      </c>
      <c r="C15">
        <v>54</v>
      </c>
      <c r="D15">
        <v>2</v>
      </c>
      <c r="E15" s="4">
        <v>0</v>
      </c>
      <c r="F15">
        <v>23</v>
      </c>
      <c r="G15">
        <f t="shared" si="0"/>
        <v>11.5</v>
      </c>
      <c r="H15" t="s">
        <v>67</v>
      </c>
      <c r="I15" t="s">
        <v>67</v>
      </c>
      <c r="J15">
        <v>0</v>
      </c>
      <c r="K15">
        <v>0</v>
      </c>
      <c r="L15" t="s">
        <v>35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 t="shared" si="0"/>
        <v>21</v>
      </c>
      <c r="H16" t="s">
        <v>67</v>
      </c>
      <c r="I16" t="s">
        <v>67</v>
      </c>
      <c r="J16">
        <v>0</v>
      </c>
      <c r="K16">
        <v>0</v>
      </c>
      <c r="L16" t="s">
        <v>91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73</v>
      </c>
      <c r="B1" t="s">
        <v>72</v>
      </c>
      <c r="C1" t="s">
        <v>74</v>
      </c>
      <c r="D1" t="s">
        <v>75</v>
      </c>
      <c r="H1" t="s">
        <v>72</v>
      </c>
      <c r="K1" t="s">
        <v>75</v>
      </c>
      <c r="N1" t="s">
        <v>74</v>
      </c>
    </row>
    <row r="2" spans="1:15" x14ac:dyDescent="0.3">
      <c r="A2" t="s">
        <v>78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80</v>
      </c>
      <c r="I2" s="10">
        <v>46033</v>
      </c>
      <c r="K2" s="10" t="s">
        <v>82</v>
      </c>
      <c r="L2" s="10">
        <v>46143</v>
      </c>
      <c r="N2" t="s">
        <v>85</v>
      </c>
      <c r="O2" s="10">
        <v>46146</v>
      </c>
    </row>
    <row r="3" spans="1:15" x14ac:dyDescent="0.3">
      <c r="A3" t="s">
        <v>70</v>
      </c>
      <c r="B3">
        <v>5</v>
      </c>
      <c r="C3">
        <v>0</v>
      </c>
      <c r="D3">
        <v>1</v>
      </c>
      <c r="H3" t="s">
        <v>79</v>
      </c>
      <c r="I3" s="10">
        <v>46038</v>
      </c>
      <c r="K3" t="s">
        <v>81</v>
      </c>
      <c r="L3" s="10">
        <v>46147</v>
      </c>
    </row>
    <row r="4" spans="1:15" x14ac:dyDescent="0.3">
      <c r="A4" t="s">
        <v>71</v>
      </c>
      <c r="B4">
        <v>3</v>
      </c>
      <c r="C4">
        <v>1</v>
      </c>
      <c r="D4">
        <v>1</v>
      </c>
      <c r="H4" s="10" t="s">
        <v>81</v>
      </c>
      <c r="I4" s="10">
        <v>46042</v>
      </c>
    </row>
    <row r="5" spans="1:15" x14ac:dyDescent="0.3">
      <c r="A5" t="s">
        <v>76</v>
      </c>
      <c r="B5">
        <v>2</v>
      </c>
      <c r="C5">
        <v>0</v>
      </c>
      <c r="D5">
        <v>0</v>
      </c>
      <c r="H5" s="10" t="s">
        <v>82</v>
      </c>
      <c r="I5" s="10">
        <v>46071</v>
      </c>
    </row>
    <row r="6" spans="1:15" x14ac:dyDescent="0.3">
      <c r="H6" s="10" t="s">
        <v>83</v>
      </c>
      <c r="I6" s="10">
        <v>46076</v>
      </c>
    </row>
    <row r="7" spans="1:15" x14ac:dyDescent="0.3">
      <c r="A7" t="s">
        <v>77</v>
      </c>
      <c r="B7" t="s">
        <v>72</v>
      </c>
      <c r="C7" t="s">
        <v>74</v>
      </c>
      <c r="D7" t="s">
        <v>75</v>
      </c>
      <c r="H7" s="10" t="s">
        <v>83</v>
      </c>
      <c r="I7" s="10">
        <v>46080</v>
      </c>
    </row>
    <row r="8" spans="1:15" x14ac:dyDescent="0.3">
      <c r="A8" t="s">
        <v>78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81</v>
      </c>
      <c r="I8" s="10">
        <v>46093</v>
      </c>
    </row>
    <row r="9" spans="1:15" x14ac:dyDescent="0.3">
      <c r="A9" t="s">
        <v>70</v>
      </c>
      <c r="B9">
        <v>16</v>
      </c>
      <c r="C9">
        <v>0</v>
      </c>
      <c r="D9">
        <v>3</v>
      </c>
      <c r="H9" s="10" t="s">
        <v>84</v>
      </c>
      <c r="I9" s="10">
        <v>46118</v>
      </c>
    </row>
    <row r="10" spans="1:15" x14ac:dyDescent="0.3">
      <c r="A10" t="s">
        <v>71</v>
      </c>
      <c r="B10">
        <v>12</v>
      </c>
      <c r="C10">
        <v>2</v>
      </c>
      <c r="D10">
        <v>3</v>
      </c>
      <c r="H10" s="10" t="s">
        <v>84</v>
      </c>
      <c r="I10" s="10">
        <v>46129</v>
      </c>
    </row>
    <row r="11" spans="1:15" x14ac:dyDescent="0.3">
      <c r="A11" t="s">
        <v>76</v>
      </c>
      <c r="B11">
        <v>0</v>
      </c>
      <c r="C11">
        <v>0</v>
      </c>
      <c r="D11">
        <v>0</v>
      </c>
      <c r="H11" s="10" t="s">
        <v>82</v>
      </c>
      <c r="I11" s="10">
        <v>46187</v>
      </c>
    </row>
    <row r="12" spans="1:15" x14ac:dyDescent="0.3">
      <c r="H12" s="10" t="s">
        <v>83</v>
      </c>
      <c r="I12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2026-09-11T14:59:17Z</dcterms:modified>
</cp:coreProperties>
</file>